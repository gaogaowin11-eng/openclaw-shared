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4175" tabRatio="708" activeTab="3"/>
  </bookViews>
  <sheets>
    <sheet name="StoreDiamondGoodsList" sheetId="5" r:id="rId1"/>
    <sheet name="StoreSlot1GoodsList" sheetId="8" r:id="rId2"/>
    <sheet name="StoreSlot2GoodsList" sheetId="9" r:id="rId3"/>
    <sheet name="StorePowerBaseConfig" sheetId="6" r:id="rId4"/>
  </sheets>
  <definedNames>
    <definedName name="_xlnm._FilterDatabase" localSheetId="0" hidden="1">StoreDiamondGoodsList!#REF!</definedName>
    <definedName name="buff类型">#REF!</definedName>
    <definedName name="_xlnm._FilterDatabase" localSheetId="3" hidden="1">StorePowerBaseConfig!#REF!</definedName>
    <definedName name="_xlnm._FilterDatabase" localSheetId="1" hidden="1">StoreSlot1GoodsList!#REF!</definedName>
    <definedName name="_xlnm._FilterDatabase" localSheetId="2" hidden="1">StoreSlot2GoodsList!#REF!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<sst xmlns="http://schemas.openxmlformats.org/spreadsheetml/2006/main" count="80" uniqueCount="60">
  <si>
    <t>ID</t>
  </si>
  <si>
    <t>所属的分类ID</t>
  </si>
  <si>
    <t>商品id</t>
  </si>
  <si>
    <t>多语言提示（方便阅读）</t>
  </si>
  <si>
    <t>商品名称</t>
  </si>
  <si>
    <t>商品图片</t>
  </si>
  <si>
    <t>商品数量</t>
  </si>
  <si>
    <t>商品价格</t>
  </si>
  <si>
    <t>钻石商品优惠标识</t>
  </si>
  <si>
    <t>钻石额外增值百分比0~100 纯展示 数量已计算到物品数量中</t>
  </si>
  <si>
    <t>产品ID</t>
  </si>
  <si>
    <t>id</t>
  </si>
  <si>
    <t>id#string</t>
  </si>
  <si>
    <t>languageTips#string</t>
  </si>
  <si>
    <t>name#string</t>
  </si>
  <si>
    <t>icon#string</t>
  </si>
  <si>
    <t>cnts#number</t>
  </si>
  <si>
    <t>price#number</t>
  </si>
  <si>
    <t>saleIcon#string</t>
  </si>
  <si>
    <t>extraPercent#number</t>
  </si>
  <si>
    <t>productId</t>
  </si>
  <si>
    <t>store30000</t>
  </si>
  <si>
    <t>icon_store_zuan1</t>
  </si>
  <si>
    <t>store30001</t>
  </si>
  <si>
    <t>icon_store_zuan2</t>
  </si>
  <si>
    <t>store30002</t>
  </si>
  <si>
    <t>icon_store_zuan3</t>
  </si>
  <si>
    <t>icon_store_hot</t>
  </si>
  <si>
    <t>store30003</t>
  </si>
  <si>
    <t>icon_store_zuan4</t>
  </si>
  <si>
    <t>store30004</t>
  </si>
  <si>
    <t>icon_store_zuan5</t>
  </si>
  <si>
    <t>store30005</t>
  </si>
  <si>
    <t>icon_store_zuan6</t>
  </si>
  <si>
    <t>icon_store_best</t>
  </si>
  <si>
    <t>道具id</t>
  </si>
  <si>
    <t>权重</t>
  </si>
  <si>
    <t>propId#number</t>
  </si>
  <si>
    <t>weight#number</t>
  </si>
  <si>
    <t>导表ID</t>
  </si>
  <si>
    <t>类型</t>
  </si>
  <si>
    <t>商品基础价格</t>
  </si>
  <si>
    <t>商品最大价格</t>
  </si>
  <si>
    <t>倍率</t>
  </si>
  <si>
    <t>id#id</t>
  </si>
  <si>
    <t>type</t>
  </si>
  <si>
    <t>showCnts#number</t>
  </si>
  <si>
    <t>basePrice#[number]</t>
  </si>
  <si>
    <t>maxPrice#number</t>
  </si>
  <si>
    <t>rate#number</t>
  </si>
  <si>
    <t>体力</t>
  </si>
  <si>
    <t>store10000</t>
  </si>
  <si>
    <t>power</t>
  </si>
  <si>
    <t>Game|UnitIcon/energy_5</t>
  </si>
  <si>
    <t>20|40|40|60|60|60|80|80|80|80</t>
  </si>
  <si>
    <t>体力宝箱</t>
  </si>
  <si>
    <t>store10001</t>
  </si>
  <si>
    <t>powerbox</t>
  </si>
  <si>
    <t>Game|UnitIcon/eboxt2_1</t>
  </si>
  <si>
    <t>30|60|60|90|90|90|120|120|120|120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</si>
</sst>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7" borderId="6" applyNumberFormat="0" applyAlignment="0" applyProtection="0">
      <alignment vertical="center"/>
    </xf>
    <xf numFmtId="0" fontId="11" fillId="8" borderId="7" applyNumberFormat="0" applyAlignment="0" applyProtection="0">
      <alignment vertical="center"/>
    </xf>
    <xf numFmtId="0" fontId="12" fillId="8" borderId="6" applyNumberFormat="0" applyAlignment="0" applyProtection="0">
      <alignment vertical="center"/>
    </xf>
    <xf numFmtId="0" fontId="13" fillId="9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4" borderId="1" xfId="0" applyFill="1" applyBorder="1">
      <alignment vertical="center"/>
    </xf>
    <xf numFmtId="0" fontId="0" fillId="0" borderId="0" xfId="0" applyFill="1" applyBorder="1">
      <alignment vertical="center"/>
    </xf>
    <xf numFmtId="0" fontId="0" fillId="0" borderId="2" xfId="0" applyBorder="1">
      <alignment vertical="center"/>
    </xf>
    <xf numFmtId="0" fontId="0" fillId="0" borderId="1" xfId="0" applyBorder="1">
      <alignment vertical="center"/>
    </xf>
    <xf numFmtId="0" fontId="0" fillId="5" borderId="1" xfId="0" applyFill="1" applyBorder="1" applyAlignment="1">
      <alignment horizontal="center" vertical="center"/>
    </xf>
    <xf numFmtId="0" fontId="0" fillId="4" borderId="2" xfId="0" applyFill="1" applyBorder="1">
      <alignment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8388E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9"/>
  <sheetViews>
    <sheetView workbookViewId="0">
      <pane xSplit="1" ySplit="3" topLeftCell="B4" activePane="bottomRight" state="frozen"/>
      <selection/>
      <selection pane="topRight"/>
      <selection pane="bottomLeft"/>
      <selection pane="bottomRight" activeCell="G13" sqref="G13"/>
    </sheetView>
  </sheetViews>
  <sheetFormatPr defaultColWidth="9" defaultRowHeight="13.5"/>
  <cols>
    <col min="1" max="1" width="17.125" style="2" customWidth="1"/>
    <col min="2" max="2" width="11.625" style="2" customWidth="1"/>
    <col min="3" max="3" width="24.875" style="2" customWidth="1"/>
    <col min="4" max="4" width="14.125" style="2" customWidth="1"/>
    <col min="5" max="5" width="21" style="2" customWidth="1"/>
    <col min="6" max="6" width="12.625" style="2" customWidth="1"/>
    <col min="7" max="7" width="15" style="1" customWidth="1"/>
    <col min="8" max="8" width="17.875" style="1" customWidth="1"/>
    <col min="9" max="9" width="22.875" style="1" customWidth="1"/>
    <col min="10" max="10" width="31.375" style="1" customWidth="1"/>
    <col min="24" max="16384" width="9" style="12"/>
  </cols>
  <sheetData>
    <row r="1" spans="1:4">
      <c r="A1" s="1" t="s">
        <v>0</v>
      </c>
      <c r="B1" s="1"/>
      <c r="C1" s="1"/>
      <c r="D1" s="1"/>
    </row>
    <row r="2" ht="40.5" spans="1:10">
      <c r="A2" s="15" t="s">
        <v>1</v>
      </c>
      <c r="B2" s="15" t="s">
        <v>2</v>
      </c>
      <c r="C2" s="15" t="s">
        <v>3</v>
      </c>
      <c r="D2" s="15" t="s">
        <v>4</v>
      </c>
      <c r="E2" s="15" t="s">
        <v>5</v>
      </c>
      <c r="F2" s="15" t="s">
        <v>6</v>
      </c>
      <c r="G2" s="16" t="s">
        <v>7</v>
      </c>
      <c r="H2" s="16" t="s">
        <v>8</v>
      </c>
      <c r="I2" s="16" t="s">
        <v>9</v>
      </c>
      <c r="J2" s="16" t="s">
        <v>10</v>
      </c>
    </row>
    <row r="3" spans="1:10">
      <c r="A3" s="15" t="s">
        <v>11</v>
      </c>
      <c r="B3" s="15" t="s">
        <v>12</v>
      </c>
      <c r="C3" s="15" t="s">
        <v>13</v>
      </c>
      <c r="D3" s="15" t="s">
        <v>14</v>
      </c>
      <c r="E3" s="15" t="s">
        <v>15</v>
      </c>
      <c r="F3" s="15" t="s">
        <v>16</v>
      </c>
      <c r="G3" s="16" t="s">
        <v>17</v>
      </c>
      <c r="H3" s="16" t="s">
        <v>18</v>
      </c>
      <c r="I3" s="16" t="s">
        <v>19</v>
      </c>
      <c r="J3" s="16" t="s">
        <v>20</v>
      </c>
    </row>
    <row r="4" s="9" customFormat="1" spans="1:23">
      <c r="A4" s="5">
        <v>1</v>
      </c>
      <c r="B4" s="5">
        <v>30000</v>
      </c>
      <c r="C4" s="5" t="str">
        <f t="shared" ref="C4:C9" si="0">F4&amp;"钻"</f>
        <v>80钻</v>
      </c>
      <c r="D4" s="5" t="s">
        <v>21</v>
      </c>
      <c r="E4" s="5" t="s">
        <v>22</v>
      </c>
      <c r="F4" s="5">
        <v>80</v>
      </c>
      <c r="G4" s="7">
        <v>6</v>
      </c>
      <c r="H4" s="7"/>
      <c r="I4" s="7">
        <v>0</v>
      </c>
      <c r="J4" s="7" t="str">
        <f t="shared" ref="J4:J9" si="1">"com.cgtime.island.gems_"&amp;F4</f>
        <v>com.cgtime.island.gems_80</v>
      </c>
      <c r="K4"/>
      <c r="L4"/>
      <c r="M4"/>
      <c r="N4"/>
      <c r="O4"/>
      <c r="P4"/>
      <c r="Q4"/>
      <c r="R4"/>
      <c r="S4"/>
      <c r="T4"/>
      <c r="U4"/>
      <c r="V4"/>
      <c r="W4"/>
    </row>
    <row r="5" s="9" customFormat="1" spans="1:23">
      <c r="A5" s="5">
        <v>2</v>
      </c>
      <c r="B5" s="5">
        <v>30001</v>
      </c>
      <c r="C5" s="5" t="str">
        <f t="shared" si="0"/>
        <v>220钻</v>
      </c>
      <c r="D5" s="5" t="s">
        <v>23</v>
      </c>
      <c r="E5" s="5" t="s">
        <v>24</v>
      </c>
      <c r="F5" s="5">
        <v>220</v>
      </c>
      <c r="G5" s="7">
        <v>30</v>
      </c>
      <c r="H5" s="7"/>
      <c r="I5" s="7">
        <v>10</v>
      </c>
      <c r="J5" s="7" t="str">
        <f t="shared" si="1"/>
        <v>com.cgtime.island.gems_220</v>
      </c>
      <c r="K5"/>
      <c r="L5"/>
      <c r="M5"/>
      <c r="N5"/>
      <c r="O5"/>
      <c r="P5"/>
      <c r="Q5"/>
      <c r="R5"/>
      <c r="S5"/>
      <c r="T5"/>
      <c r="U5"/>
      <c r="V5"/>
      <c r="W5"/>
    </row>
    <row r="6" s="9" customFormat="1" spans="1:23">
      <c r="A6" s="5">
        <v>3</v>
      </c>
      <c r="B6" s="5">
        <v>30002</v>
      </c>
      <c r="C6" s="5" t="str">
        <f t="shared" si="0"/>
        <v>520钻</v>
      </c>
      <c r="D6" s="5" t="s">
        <v>25</v>
      </c>
      <c r="E6" s="5" t="s">
        <v>26</v>
      </c>
      <c r="F6" s="5">
        <v>520</v>
      </c>
      <c r="G6" s="7">
        <v>68</v>
      </c>
      <c r="H6" s="7" t="s">
        <v>27</v>
      </c>
      <c r="I6" s="7">
        <v>30</v>
      </c>
      <c r="J6" s="7" t="str">
        <f t="shared" si="1"/>
        <v>com.cgtime.island.gems_520</v>
      </c>
      <c r="K6"/>
      <c r="L6"/>
      <c r="M6"/>
      <c r="N6"/>
      <c r="O6"/>
      <c r="P6"/>
      <c r="Q6"/>
      <c r="R6"/>
      <c r="S6"/>
      <c r="T6"/>
      <c r="U6"/>
      <c r="V6"/>
      <c r="W6"/>
    </row>
    <row r="7" s="9" customFormat="1" spans="1:23">
      <c r="A7" s="5">
        <v>4</v>
      </c>
      <c r="B7" s="5">
        <v>30003</v>
      </c>
      <c r="C7" s="5" t="str">
        <f t="shared" si="0"/>
        <v>1200钻</v>
      </c>
      <c r="D7" s="5" t="s">
        <v>28</v>
      </c>
      <c r="E7" s="5" t="s">
        <v>29</v>
      </c>
      <c r="F7" s="5">
        <v>1200</v>
      </c>
      <c r="G7" s="7">
        <v>128</v>
      </c>
      <c r="H7" s="7"/>
      <c r="I7" s="7">
        <v>50</v>
      </c>
      <c r="J7" s="7" t="str">
        <f t="shared" si="1"/>
        <v>com.cgtime.island.gems_1200</v>
      </c>
      <c r="K7"/>
      <c r="L7"/>
      <c r="M7"/>
      <c r="N7"/>
      <c r="O7"/>
      <c r="P7"/>
      <c r="Q7"/>
      <c r="R7"/>
      <c r="S7"/>
      <c r="T7"/>
      <c r="U7"/>
      <c r="V7"/>
      <c r="W7"/>
    </row>
    <row r="8" s="9" customFormat="1" spans="1:23">
      <c r="A8" s="5">
        <v>5</v>
      </c>
      <c r="B8" s="5">
        <v>30004</v>
      </c>
      <c r="C8" s="5" t="str">
        <f t="shared" si="0"/>
        <v>3200钻</v>
      </c>
      <c r="D8" s="5" t="s">
        <v>30</v>
      </c>
      <c r="E8" s="5" t="s">
        <v>31</v>
      </c>
      <c r="F8" s="5">
        <v>3200</v>
      </c>
      <c r="G8" s="7">
        <v>328</v>
      </c>
      <c r="H8" s="7"/>
      <c r="I8" s="7">
        <v>60</v>
      </c>
      <c r="J8" s="7" t="str">
        <f t="shared" si="1"/>
        <v>com.cgtime.island.gems_3200</v>
      </c>
      <c r="K8"/>
      <c r="L8"/>
      <c r="M8"/>
      <c r="N8"/>
      <c r="O8"/>
      <c r="P8"/>
      <c r="Q8"/>
      <c r="R8"/>
      <c r="S8"/>
      <c r="T8"/>
      <c r="U8"/>
      <c r="V8"/>
      <c r="W8"/>
    </row>
    <row r="9" s="9" customFormat="1" spans="1:23">
      <c r="A9" s="5">
        <v>6</v>
      </c>
      <c r="B9" s="5">
        <v>30005</v>
      </c>
      <c r="C9" s="5" t="str">
        <f t="shared" si="0"/>
        <v>6800钻</v>
      </c>
      <c r="D9" s="5" t="s">
        <v>32</v>
      </c>
      <c r="E9" s="5" t="s">
        <v>33</v>
      </c>
      <c r="F9" s="5">
        <v>6800</v>
      </c>
      <c r="G9" s="7">
        <v>648</v>
      </c>
      <c r="H9" s="7" t="s">
        <v>34</v>
      </c>
      <c r="I9" s="7">
        <v>70</v>
      </c>
      <c r="J9" s="7" t="str">
        <f t="shared" si="1"/>
        <v>com.cgtime.island.gems_6800</v>
      </c>
      <c r="K9"/>
      <c r="L9"/>
      <c r="M9"/>
      <c r="N9"/>
      <c r="O9"/>
      <c r="P9"/>
      <c r="Q9"/>
      <c r="R9"/>
      <c r="S9"/>
      <c r="T9"/>
      <c r="U9"/>
      <c r="V9"/>
      <c r="W9"/>
    </row>
  </sheetData>
  <dataValidations count="1">
    <dataValidation allowBlank="1" showInputMessage="1" showErrorMessage="1" sqref="F4:F9"/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5"/>
  <sheetViews>
    <sheetView workbookViewId="0">
      <pane xSplit="1" ySplit="3" topLeftCell="B4" activePane="bottomRight" state="frozen"/>
      <selection/>
      <selection pane="topRight"/>
      <selection pane="bottomLeft"/>
      <selection pane="bottomRight" activeCell="C6" sqref="C6"/>
    </sheetView>
  </sheetViews>
  <sheetFormatPr defaultColWidth="9" defaultRowHeight="13.5" outlineLevelRow="4"/>
  <cols>
    <col min="1" max="1" width="15.875" style="2" customWidth="1"/>
    <col min="2" max="2" width="23" style="2" customWidth="1"/>
    <col min="3" max="3" width="15.25" style="2" customWidth="1"/>
    <col min="19" max="23" width="9" style="10"/>
    <col min="24" max="24" width="9" style="11"/>
    <col min="25" max="16384" width="9" style="12"/>
  </cols>
  <sheetData>
    <row r="1" spans="1:2">
      <c r="A1" s="1" t="s">
        <v>0</v>
      </c>
      <c r="B1" s="1"/>
    </row>
    <row r="2" spans="1:3">
      <c r="A2" s="3" t="s">
        <v>1</v>
      </c>
      <c r="B2" s="3" t="s">
        <v>35</v>
      </c>
      <c r="C2" s="3" t="s">
        <v>36</v>
      </c>
    </row>
    <row r="3" spans="1:3">
      <c r="A3" s="3" t="s">
        <v>11</v>
      </c>
      <c r="B3" s="3" t="s">
        <v>37</v>
      </c>
      <c r="C3" s="3" t="s">
        <v>38</v>
      </c>
    </row>
    <row r="4" s="9" customFormat="1" spans="1:24">
      <c r="A4" s="5">
        <v>1</v>
      </c>
      <c r="B4" s="5">
        <v>10201</v>
      </c>
      <c r="C4" s="5">
        <v>10</v>
      </c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 s="10"/>
      <c r="T4" s="10"/>
      <c r="U4" s="10"/>
      <c r="V4" s="10"/>
      <c r="W4" s="10"/>
      <c r="X4" s="14"/>
    </row>
    <row r="5" spans="1:3">
      <c r="A5" s="13">
        <v>2</v>
      </c>
      <c r="B5" s="13">
        <v>201</v>
      </c>
      <c r="C5" s="13">
        <v>10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7"/>
  <sheetViews>
    <sheetView workbookViewId="0">
      <pane xSplit="1" ySplit="3" topLeftCell="B4" activePane="bottomRight" state="frozen"/>
      <selection/>
      <selection pane="topRight"/>
      <selection pane="bottomLeft"/>
      <selection pane="bottomRight" activeCell="B17" sqref="B17"/>
    </sheetView>
  </sheetViews>
  <sheetFormatPr defaultColWidth="9" defaultRowHeight="13.5" outlineLevelRow="6"/>
  <cols>
    <col min="1" max="1" width="15.875" style="2" customWidth="1"/>
    <col min="2" max="2" width="23" style="2" customWidth="1"/>
    <col min="3" max="3" width="15.25" style="2" customWidth="1"/>
    <col min="19" max="24" width="9" style="10"/>
    <col min="25" max="25" width="9" style="11"/>
    <col min="26" max="16384" width="9" style="12"/>
  </cols>
  <sheetData>
    <row r="1" spans="1:2">
      <c r="A1" s="1" t="s">
        <v>0</v>
      </c>
      <c r="B1" s="1"/>
    </row>
    <row r="2" spans="1:3">
      <c r="A2" s="3" t="s">
        <v>1</v>
      </c>
      <c r="B2" s="3" t="s">
        <v>35</v>
      </c>
      <c r="C2" s="3" t="s">
        <v>36</v>
      </c>
    </row>
    <row r="3" spans="1:3">
      <c r="A3" s="3" t="s">
        <v>11</v>
      </c>
      <c r="B3" s="3" t="s">
        <v>37</v>
      </c>
      <c r="C3" s="3" t="s">
        <v>38</v>
      </c>
    </row>
    <row r="4" s="9" customFormat="1" spans="1:25">
      <c r="A4" s="5">
        <v>1</v>
      </c>
      <c r="B4" s="5">
        <v>20401</v>
      </c>
      <c r="C4" s="5">
        <v>10</v>
      </c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 s="10"/>
      <c r="T4" s="10"/>
      <c r="U4" s="10"/>
      <c r="V4" s="10"/>
      <c r="W4" s="10"/>
      <c r="X4" s="10"/>
      <c r="Y4" s="14"/>
    </row>
    <row r="5" s="9" customFormat="1" spans="1:25">
      <c r="A5" s="5">
        <v>2</v>
      </c>
      <c r="B5" s="5">
        <v>20402</v>
      </c>
      <c r="C5" s="5">
        <v>10</v>
      </c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 s="10"/>
      <c r="T5" s="10"/>
      <c r="U5" s="10"/>
      <c r="V5" s="10"/>
      <c r="W5" s="10"/>
      <c r="X5" s="10"/>
      <c r="Y5" s="14"/>
    </row>
    <row r="6" s="9" customFormat="1" spans="1:25">
      <c r="A6" s="5">
        <v>3</v>
      </c>
      <c r="B6" s="5">
        <v>20403</v>
      </c>
      <c r="C6" s="5">
        <v>10</v>
      </c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 s="10"/>
      <c r="T6" s="10"/>
      <c r="U6" s="10"/>
      <c r="V6" s="10"/>
      <c r="W6" s="10"/>
      <c r="X6" s="10"/>
      <c r="Y6" s="14"/>
    </row>
    <row r="7" spans="1:3">
      <c r="A7" s="13">
        <v>4</v>
      </c>
      <c r="B7" s="13">
        <v>301</v>
      </c>
      <c r="C7" s="13">
        <v>10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0"/>
  <sheetViews>
    <sheetView tabSelected="1" workbookViewId="0">
      <pane xSplit="1" ySplit="3" topLeftCell="B4" activePane="bottomRight" state="frozen"/>
      <selection/>
      <selection pane="topRight"/>
      <selection pane="bottomLeft"/>
      <selection pane="bottomRight" activeCell="G19" sqref="G19"/>
    </sheetView>
  </sheetViews>
  <sheetFormatPr defaultColWidth="9" defaultRowHeight="13.5"/>
  <cols>
    <col min="2" max="2" width="23.375" customWidth="1"/>
    <col min="3" max="3" width="14.25" customWidth="1"/>
    <col min="4" max="4" width="11.625" customWidth="1"/>
    <col min="5" max="5" width="24.875" customWidth="1"/>
    <col min="6" max="6" width="17.5" customWidth="1"/>
    <col min="7" max="7" width="34" customWidth="1"/>
    <col min="8" max="8" width="18.25" customWidth="1"/>
    <col min="9" max="9" width="16.5" customWidth="1"/>
    <col min="10" max="10" width="17.75" customWidth="1"/>
  </cols>
  <sheetData>
    <row r="1" customFormat="1" spans="1:10">
      <c r="A1" s="1" t="s">
        <v>0</v>
      </c>
      <c r="B1" s="1"/>
      <c r="C1" s="1"/>
      <c r="D1" s="2"/>
      <c r="E1" s="2"/>
      <c r="F1" s="2"/>
      <c r="G1" s="1"/>
      <c r="H1" s="1"/>
      <c r="I1" s="1"/>
      <c r="J1" s="1"/>
    </row>
    <row r="2" customFormat="1" spans="1:10">
      <c r="A2" s="3" t="s">
        <v>39</v>
      </c>
      <c r="B2" s="3" t="s">
        <v>3</v>
      </c>
      <c r="C2" s="3" t="s">
        <v>4</v>
      </c>
      <c r="D2" s="3" t="s">
        <v>40</v>
      </c>
      <c r="E2" s="3" t="s">
        <v>5</v>
      </c>
      <c r="F2" s="3" t="s">
        <v>6</v>
      </c>
      <c r="G2" s="4" t="s">
        <v>41</v>
      </c>
      <c r="H2" s="4" t="s">
        <v>42</v>
      </c>
      <c r="I2" s="4" t="s">
        <v>43</v>
      </c>
      <c r="J2" s="4" t="s">
        <v>35</v>
      </c>
    </row>
    <row r="3" customFormat="1" spans="1:10">
      <c r="A3" s="3" t="s">
        <v>44</v>
      </c>
      <c r="B3" s="3" t="s">
        <v>13</v>
      </c>
      <c r="C3" s="3" t="s">
        <v>14</v>
      </c>
      <c r="D3" s="3" t="s">
        <v>45</v>
      </c>
      <c r="E3" s="3" t="s">
        <v>15</v>
      </c>
      <c r="F3" s="3" t="s">
        <v>46</v>
      </c>
      <c r="G3" s="4" t="s">
        <v>47</v>
      </c>
      <c r="H3" s="4" t="s">
        <v>48</v>
      </c>
      <c r="I3" s="4" t="s">
        <v>49</v>
      </c>
      <c r="J3" s="4" t="s">
        <v>37</v>
      </c>
    </row>
    <row r="4" customFormat="1" spans="1:10">
      <c r="A4" s="5">
        <v>1</v>
      </c>
      <c r="B4" s="5" t="s">
        <v>50</v>
      </c>
      <c r="C4" s="5" t="s">
        <v>51</v>
      </c>
      <c r="D4" s="5" t="s">
        <v>52</v>
      </c>
      <c r="E4" s="5" t="s">
        <v>53</v>
      </c>
      <c r="F4" s="5">
        <v>100</v>
      </c>
      <c r="G4" s="6" t="s">
        <v>54</v>
      </c>
      <c r="H4" s="7">
        <v>100</v>
      </c>
      <c r="I4" s="7">
        <v>2</v>
      </c>
      <c r="J4" s="7">
        <v>20305</v>
      </c>
    </row>
    <row r="5" customFormat="1" spans="1:10">
      <c r="A5" s="5">
        <v>2</v>
      </c>
      <c r="B5" s="5" t="s">
        <v>55</v>
      </c>
      <c r="C5" s="5" t="s">
        <v>56</v>
      </c>
      <c r="D5" s="5" t="s">
        <v>57</v>
      </c>
      <c r="E5" s="5" t="s">
        <v>58</v>
      </c>
      <c r="F5" s="5">
        <v>1</v>
      </c>
      <c r="G5" s="6" t="s">
        <v>59</v>
      </c>
      <c r="H5" s="7">
        <v>150</v>
      </c>
      <c r="I5" s="7">
        <v>2</v>
      </c>
      <c r="J5" s="7">
        <v>10501</v>
      </c>
    </row>
    <row r="19" spans="2:10">
      <c r="B19" s="8"/>
      <c r="C19" s="8"/>
      <c r="D19" s="8"/>
      <c r="E19" s="8"/>
      <c r="F19" s="8"/>
      <c r="G19" s="8"/>
      <c r="H19" s="8"/>
      <c r="I19" s="8"/>
      <c r="J19" s="8"/>
    </row>
    <row r="20" spans="2:10">
      <c r="B20" s="8"/>
      <c r="C20" s="8"/>
      <c r="D20" s="8"/>
      <c r="E20" s="8"/>
      <c r="F20" s="8"/>
      <c r="G20" s="8"/>
      <c r="H20" s="8"/>
      <c r="I20" s="8"/>
      <c r="J20" s="8"/>
    </row>
  </sheetData>
  <dataValidations count="1">
    <dataValidation allowBlank="1" showInputMessage="1" showErrorMessage="1" sqref="F4:F5"/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StoreDiamondGoodsList</vt:lpstr>
      <vt:lpstr>StoreSlot1GoodsList</vt:lpstr>
      <vt:lpstr>StoreSlot2GoodsList</vt:lpstr>
      <vt:lpstr>StorePowerBaseConfig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loujia</dc:creator>
  <cp:lastModifiedBy>陈陶</cp:lastModifiedBy>
  <dcterms:created xsi:type="dcterms:W3CDTF">2016-02-05T09:13:00Z</dcterms:created>
  <dcterms:modified xsi:type="dcterms:W3CDTF">2025-10-28T07:02:54Z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99EE1DCDB89545A486CE279C914081B4_12</vt:lpwstr>
  </property>
</Properties>
</file>