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769"/>
  </bookViews>
  <sheets>
    <sheet name="SingleMerge_Init_Extra" sheetId="2" r:id="rId1"/>
    <sheet name="SingleMerge_Prop_Extra" sheetId="3" r:id="rId2"/>
    <sheet name="SingleMerge_Lock_Extra" sheetId="4" r:id="rId3"/>
    <sheet name="SingleMerge_Order_Extra" sheetId="5" r:id="rId4"/>
    <sheet name="SingleMerge_Book_Extra" sheetId="7" r:id="rId5"/>
    <sheet name="SingleMerge_BuyActivity_Extra" sheetId="8" r:id="rId6"/>
    <sheet name="SingleMerge_Server_Extra" sheetId="9" r:id="rId7"/>
  </sheets>
  <definedNames>
    <definedName name="_xlnm._FilterDatabase" localSheetId="0" hidden="1">SingleMerge_Init_Extra!$B$3:$H$136</definedName>
    <definedName name="div">_xlfn.LAMBDA(_xlpm.x,IF(_xlpm.x&gt;99999,div(_xlpm.x/10000),_xlpm.x))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<sst xmlns="http://schemas.openxmlformats.org/spreadsheetml/2006/main" count="746" uniqueCount="261">
  <si>
    <t>0已经解锁,1未解锁,2未解锁有箱子</t>
  </si>
  <si>
    <t>id</t>
  </si>
  <si>
    <t>格子y坐标</t>
  </si>
  <si>
    <t>格子x坐标</t>
  </si>
  <si>
    <t>存放物品Id</t>
  </si>
  <si>
    <t>格子状态</t>
  </si>
  <si>
    <t>区域状态</t>
  </si>
  <si>
    <t>格子遮罩资源名Bundle</t>
  </si>
  <si>
    <t>格子遮罩资源名</t>
  </si>
  <si>
    <t>锁定底板资源名称</t>
  </si>
  <si>
    <t>id#id</t>
  </si>
  <si>
    <t>x#number</t>
  </si>
  <si>
    <t>y#number</t>
  </si>
  <si>
    <t>itemId#number</t>
  </si>
  <si>
    <t>status#number</t>
  </si>
  <si>
    <t>lockId#number</t>
  </si>
  <si>
    <t>bundleName#string</t>
  </si>
  <si>
    <t>box_iconList#[]</t>
  </si>
  <si>
    <t>downIcon#string</t>
  </si>
  <si>
    <t>Game</t>
  </si>
  <si>
    <t>UnitIcon/item_bag|UnitIcon/item_box_01|UnitIcon/item_box_02</t>
  </si>
  <si>
    <t>UnitIcon/item_mask</t>
  </si>
  <si>
    <t>1:发射器特效
2:顶级特效
3:满级皇冠标记</t>
  </si>
  <si>
    <t>无体力消耗：none 单倍:one,多倍：mult</t>
  </si>
  <si>
    <r>
      <rPr>
        <sz val="11"/>
        <color rgb="FF000000"/>
        <rFont val="宋体"/>
        <charset val="134"/>
        <scheme val="minor"/>
      </rPr>
      <t xml:space="preserve">1.点击后cd 2.全部后cd 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3.电池 4.时间宝箱</t>
    </r>
  </si>
  <si>
    <t>ID</t>
  </si>
  <si>
    <t>多语言提示（方便阅读）</t>
  </si>
  <si>
    <t>多语言名字ID</t>
  </si>
  <si>
    <t>Game|UnitIcon/</t>
  </si>
  <si>
    <t>类型</t>
  </si>
  <si>
    <t>特效</t>
  </si>
  <si>
    <t>是否是主发射器</t>
  </si>
  <si>
    <t>棋子发射提示</t>
  </si>
  <si>
    <t>多语言描述ID</t>
  </si>
  <si>
    <t>是否可以剪开</t>
  </si>
  <si>
    <t>inOrder</t>
  </si>
  <si>
    <t>分数</t>
  </si>
  <si>
    <t>商店钻石价值</t>
  </si>
  <si>
    <t>体力倍率</t>
  </si>
  <si>
    <t>点击次数</t>
  </si>
  <si>
    <t>点击cd</t>
  </si>
  <si>
    <t>cd类型</t>
  </si>
  <si>
    <t>种类id</t>
  </si>
  <si>
    <t>是否直接解锁</t>
  </si>
  <si>
    <t>等级</t>
  </si>
  <si>
    <t>是否出售</t>
  </si>
  <si>
    <t>出售类型</t>
  </si>
  <si>
    <t>出售数量</t>
  </si>
  <si>
    <t>合成id</t>
  </si>
  <si>
    <t>金币概率100</t>
  </si>
  <si>
    <t>气泡概率100</t>
  </si>
  <si>
    <t>气泡钻石价格</t>
  </si>
  <si>
    <t>额外添加</t>
  </si>
  <si>
    <t>参数1</t>
  </si>
  <si>
    <t>参数2</t>
  </si>
  <si>
    <t>参数3</t>
  </si>
  <si>
    <t>参数4</t>
  </si>
  <si>
    <t>参数5</t>
  </si>
  <si>
    <t>参数6</t>
  </si>
  <si>
    <t>参数7</t>
  </si>
  <si>
    <t>参数8</t>
  </si>
  <si>
    <t>参数9</t>
  </si>
  <si>
    <t>参数10</t>
  </si>
  <si>
    <t>id#number</t>
  </si>
  <si>
    <t>languageTips#string</t>
  </si>
  <si>
    <t>name#string</t>
  </si>
  <si>
    <t>icon#string</t>
  </si>
  <si>
    <t>type#number</t>
  </si>
  <si>
    <t>effect#number</t>
  </si>
  <si>
    <t>isMain#number</t>
  </si>
  <si>
    <t>tip#string</t>
  </si>
  <si>
    <t>des#string</t>
  </si>
  <si>
    <t>canSplit#number</t>
  </si>
  <si>
    <t>inOrder#number</t>
  </si>
  <si>
    <t>score#number</t>
  </si>
  <si>
    <t>shopPrice#number</t>
  </si>
  <si>
    <t>energyMode#string</t>
  </si>
  <si>
    <t>clickCount#number</t>
  </si>
  <si>
    <t>clickCD#[number]</t>
  </si>
  <si>
    <t>clickCDType#number</t>
  </si>
  <si>
    <t>typeId#number</t>
  </si>
  <si>
    <t>unlock#number</t>
  </si>
  <si>
    <t>level#number</t>
  </si>
  <si>
    <t>isSell#number</t>
  </si>
  <si>
    <t>sellType#number</t>
  </si>
  <si>
    <t>sellCount#number</t>
  </si>
  <si>
    <t>blessId#number</t>
  </si>
  <si>
    <t>coinRate#number</t>
  </si>
  <si>
    <t>bubbleRate#[number]</t>
  </si>
  <si>
    <t>bubblePrice#number</t>
  </si>
  <si>
    <t>extral_add#[{}]</t>
  </si>
  <si>
    <t>param1#string</t>
  </si>
  <si>
    <t>param2#string</t>
  </si>
  <si>
    <t>param3#string</t>
  </si>
  <si>
    <t>param4#string</t>
  </si>
  <si>
    <t>param5#string</t>
  </si>
  <si>
    <t>param6#string</t>
  </si>
  <si>
    <t>param7#string</t>
  </si>
  <si>
    <t>param8#string</t>
  </si>
  <si>
    <t>param9#string</t>
  </si>
  <si>
    <t>param10#string</t>
  </si>
  <si>
    <t>普通自选宝箱气泡</t>
  </si>
  <si>
    <t>item_mysterybox01</t>
  </si>
  <si>
    <t>common1144</t>
  </si>
  <si>
    <t>中级自选宝箱气泡</t>
  </si>
  <si>
    <t>item_mysterybox02</t>
  </si>
  <si>
    <t>豪华自选宝箱气泡</t>
  </si>
  <si>
    <t>item_mysterybox03</t>
  </si>
  <si>
    <t>小物品气泡</t>
  </si>
  <si>
    <t>item_rewardBox01</t>
  </si>
  <si>
    <t>大物品气泡</t>
  </si>
  <si>
    <t>item_rewardBox02</t>
  </si>
  <si>
    <t>小建材气泡</t>
  </si>
  <si>
    <t>item_clbox1</t>
  </si>
  <si>
    <t>大建材气泡</t>
  </si>
  <si>
    <t>item_clbox2</t>
  </si>
  <si>
    <t>房间发射器1</t>
  </si>
  <si>
    <t>shan_btn_launch</t>
  </si>
  <si>
    <t>common1006</t>
  </si>
  <si>
    <t>房间发射器2</t>
  </si>
  <si>
    <t>50201|50301</t>
  </si>
  <si>
    <t>5020101|5020201|5030101|5030201</t>
  </si>
  <si>
    <t>4|2|1|1</t>
  </si>
  <si>
    <t>房间发射器3</t>
  </si>
  <si>
    <t>房间发射器4</t>
  </si>
  <si>
    <t>普通1</t>
  </si>
  <si>
    <t>item_coffee_cw1_kf_1</t>
  </si>
  <si>
    <t>common1004</t>
  </si>
  <si>
    <t>普通2</t>
  </si>
  <si>
    <t>item_coffee_cw1_kf_2</t>
  </si>
  <si>
    <t>普通3</t>
  </si>
  <si>
    <t>item_coffee_cw1_kf_3</t>
  </si>
  <si>
    <t>普通4</t>
  </si>
  <si>
    <t>item_coffee_cw1_kf_4</t>
  </si>
  <si>
    <t>targetType:1,id:20101,count:1</t>
  </si>
  <si>
    <t>普通5</t>
  </si>
  <si>
    <t>item_coffee_cw1_kf_5</t>
  </si>
  <si>
    <t>targetType:1,id:20301,count:1</t>
  </si>
  <si>
    <t>普通6</t>
  </si>
  <si>
    <t>item_coffee_cw1_kf_6</t>
  </si>
  <si>
    <t>普通7</t>
  </si>
  <si>
    <t>item_coffee_cw1_kf_7</t>
  </si>
  <si>
    <t>targetType:1,id:20301,count:1|targetType:1,id:20101,count:1</t>
  </si>
  <si>
    <t>普通8</t>
  </si>
  <si>
    <t>item_coffee_cw1_kf_8</t>
  </si>
  <si>
    <t>targetType:1,id:20201,count:1|targetType:1,id:20301,count:1|targetType:1,id:1010100,count:1</t>
  </si>
  <si>
    <t>普通9</t>
  </si>
  <si>
    <t>item_coffee_cw1_kf_9</t>
  </si>
  <si>
    <t>targetType:1,id:20301,count:1|targetType:1,id:20101,count:1|targetType:1,id:50100,count:1</t>
  </si>
  <si>
    <t>普通10</t>
  </si>
  <si>
    <t>item_coffee_cw1_kf_10</t>
  </si>
  <si>
    <t>targetType:1,id:20201,count:1|targetType:1,id:20301,count:1|targetType:1,id:60100,count:1</t>
  </si>
  <si>
    <t>普通11</t>
  </si>
  <si>
    <t>item_coffee_cw1_kf_11</t>
  </si>
  <si>
    <t>targetType:1,id:20301,count:1|targetType:1,id:20101,count:1|targetType:1,id:70100,count:1</t>
  </si>
  <si>
    <t>普通12</t>
  </si>
  <si>
    <t>item_coffee_cw1_kf_12</t>
  </si>
  <si>
    <t>targetType:1,id:20201,count:1|targetType:1,id:20301,count:1|targetType:1,id:80100,count:1</t>
  </si>
  <si>
    <t>普通13（列表发射）</t>
  </si>
  <si>
    <t>item_coffee_cw1_kf_13</t>
  </si>
  <si>
    <t>20301|70100|1020100</t>
  </si>
  <si>
    <t>稀有1</t>
  </si>
  <si>
    <t>item_coffee_cw2_rg_1</t>
  </si>
  <si>
    <t>稀有2</t>
  </si>
  <si>
    <t>item_coffee_cw2_rg_2</t>
  </si>
  <si>
    <t>稀有3</t>
  </si>
  <si>
    <t>item_coffee_cw2_rg_3</t>
  </si>
  <si>
    <t>稀有4</t>
  </si>
  <si>
    <t>item_coffee_cw2_rg_4</t>
  </si>
  <si>
    <t>稀有5</t>
  </si>
  <si>
    <t>item_coffee_cw2_rg_5</t>
  </si>
  <si>
    <t>稀有6</t>
  </si>
  <si>
    <t>item_coffee_cw2_rg_6</t>
  </si>
  <si>
    <t>common1003</t>
  </si>
  <si>
    <t>收银台（列表发射）</t>
  </si>
  <si>
    <t>pd_7_7</t>
  </si>
  <si>
    <t>6030101|6030101|6030101|6030101</t>
  </si>
  <si>
    <t>超稀有1</t>
  </si>
  <si>
    <t>item_coffee_cw3_xf_1</t>
  </si>
  <si>
    <t>超稀有2</t>
  </si>
  <si>
    <t>item_coffee_cw3_xf_2</t>
  </si>
  <si>
    <t>超稀有3</t>
  </si>
  <si>
    <t>item_coffee_cw3_xf_3</t>
  </si>
  <si>
    <t>超稀有4</t>
  </si>
  <si>
    <t>item_coffee_cw3_xf_4</t>
  </si>
  <si>
    <t>超稀有5</t>
  </si>
  <si>
    <t>item_coffee_cw3_xf_5</t>
  </si>
  <si>
    <t>targetType:1,id:40100,count:2</t>
  </si>
  <si>
    <t>超稀有6</t>
  </si>
  <si>
    <t>item_coffee_cw3_xf_6</t>
  </si>
  <si>
    <t>targetType:1,id:50100,count:1|targetType:1,id:40100,count:1</t>
  </si>
  <si>
    <t>超稀有7</t>
  </si>
  <si>
    <t>item_coffee_cw3_xf_7</t>
  </si>
  <si>
    <t>targetType:1,id:60100,count:1|targetType:1,id:50100,count:1</t>
  </si>
  <si>
    <t>超稀有8（列表发射）</t>
  </si>
  <si>
    <t>item_coffee_cw3_xf_8</t>
  </si>
  <si>
    <t>targetType:1,id:60100,count:2</t>
  </si>
  <si>
    <t>60100|70100|80100</t>
  </si>
  <si>
    <t>1.直接解锁 2.点击解锁</t>
  </si>
  <si>
    <t>目标id</t>
  </si>
  <si>
    <t>目标次数</t>
  </si>
  <si>
    <t>坐标x</t>
  </si>
  <si>
    <t>坐标y</t>
  </si>
  <si>
    <t>移动</t>
  </si>
  <si>
    <t>发射器升级</t>
  </si>
  <si>
    <t>signId#number</t>
  </si>
  <si>
    <t>signCount#number</t>
  </si>
  <si>
    <t>pos_x#number</t>
  </si>
  <si>
    <t>pos_y#number</t>
  </si>
  <si>
    <t>move#number</t>
  </si>
  <si>
    <t>levelup#number</t>
  </si>
  <si>
    <t>name</t>
  </si>
  <si>
    <t>rewardList</t>
  </si>
  <si>
    <t>bookid#[number]</t>
  </si>
  <si>
    <t>rewardList#[{}]</t>
  </si>
  <si>
    <t>targetType:1,id:801,count:2</t>
  </si>
  <si>
    <t>item_s_merge_surprise</t>
  </si>
  <si>
    <t>6030101|6030201|6030301|6030401|6030501|6030601|6030701|6030801</t>
  </si>
  <si>
    <t>targetType:1,id:701,count:1|targetType:1,id:10201,count:1</t>
  </si>
  <si>
    <t>item_s_merge_main</t>
  </si>
  <si>
    <t>5020101|5020201|5020301|5020401|5020501|5020601|5020701|5020801|5020901|5021001|5021101|5021201|5021301</t>
  </si>
  <si>
    <t>targetType:2,id:2,count:100|targetType:1,id:601,count:1</t>
  </si>
  <si>
    <t>item_s_merge_magical</t>
  </si>
  <si>
    <t>5030101|5030201|5030301|5030401|5030501|5030601</t>
  </si>
  <si>
    <t>targetType:2,id:2,count:20</t>
  </si>
  <si>
    <t>buytype#string</t>
  </si>
  <si>
    <t>isLoop#number</t>
  </si>
  <si>
    <t>金币3级*1</t>
  </si>
  <si>
    <t>targetType:1,id:20103,count:1</t>
  </si>
  <si>
    <t>体力值*10</t>
  </si>
  <si>
    <t>targetType:2,id:2,count:10</t>
  </si>
  <si>
    <t>钻石1级*1</t>
  </si>
  <si>
    <t>targetType:1,id:20201,count:1</t>
  </si>
  <si>
    <t>体力值*50</t>
  </si>
  <si>
    <t>com.cgtime.island.smallboard</t>
  </si>
  <si>
    <t>targetType:2,id:2,count:50</t>
  </si>
  <si>
    <t>发射次数*1</t>
  </si>
  <si>
    <t>targetType:2,id:11,count:1</t>
  </si>
  <si>
    <t>发射次数*2</t>
  </si>
  <si>
    <t>体力值*150</t>
  </si>
  <si>
    <t>com.cgtime.island.smallboard_enhanced</t>
  </si>
  <si>
    <t>targetType:2,id:2,count:150</t>
  </si>
  <si>
    <t>发射次数*3</t>
  </si>
  <si>
    <t>targetType:2,id:11,count:2</t>
  </si>
  <si>
    <t>com.cgtime.island.smallboard_boost</t>
  </si>
  <si>
    <t>targetType:2,id:2,count:300</t>
  </si>
  <si>
    <t>data</t>
  </si>
  <si>
    <t>duration</t>
  </si>
  <si>
    <t>发射器配置</t>
  </si>
  <si>
    <t>吞噬器配置1</t>
  </si>
  <si>
    <t>吞噬器配置2</t>
  </si>
  <si>
    <t>openDays#[number]</t>
  </si>
  <si>
    <t>duration#number</t>
  </si>
  <si>
    <t>laucher#[number]</t>
  </si>
  <si>
    <t>laucher_id#number</t>
  </si>
  <si>
    <t>target_id#number</t>
  </si>
  <si>
    <t>time_config</t>
  </si>
  <si>
    <t>1|4|6|7</t>
  </si>
  <si>
    <t>laucher_config</t>
  </si>
  <si>
    <t>5010101|5010201|5010301|5010401</t>
  </si>
  <si>
    <t>swallow_config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</si>
</sst>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b/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theme="7"/>
      <name val="宋体"/>
      <charset val="134"/>
      <scheme val="minor"/>
    </font>
    <font>
      <b/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D5F2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DAE3F4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EE822F"/>
        <bgColor indexed="64"/>
      </patternFill>
    </fill>
    <fill>
      <patternFill patternType="solid">
        <fgColor rgb="FFD2F4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1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2" borderId="9" applyNumberFormat="0" applyAlignment="0" applyProtection="0">
      <alignment vertical="center"/>
    </xf>
    <xf numFmtId="0" fontId="18" fillId="13" borderId="10" applyNumberFormat="0" applyAlignment="0" applyProtection="0">
      <alignment vertical="center"/>
    </xf>
    <xf numFmtId="0" fontId="19" fillId="13" borderId="9" applyNumberFormat="0" applyAlignment="0" applyProtection="0">
      <alignment vertical="center"/>
    </xf>
    <xf numFmtId="0" fontId="20" fillId="14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4" borderId="0" xfId="0" applyFill="1">
      <alignment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2" fillId="5" borderId="1" xfId="0" applyFont="1" applyFill="1" applyBorder="1">
      <alignment vertical="center"/>
    </xf>
    <xf numFmtId="0" fontId="2" fillId="6" borderId="1" xfId="0" applyFont="1" applyFill="1" applyBorder="1">
      <alignment vertical="center"/>
    </xf>
    <xf numFmtId="0" fontId="0" fillId="7" borderId="2" xfId="0" applyFill="1" applyBorder="1">
      <alignment vertical="center"/>
    </xf>
    <xf numFmtId="0" fontId="3" fillId="7" borderId="2" xfId="0" applyFont="1" applyFill="1" applyBorder="1" applyAlignment="1">
      <alignment horizontal="left" vertical="center"/>
    </xf>
    <xf numFmtId="0" fontId="0" fillId="7" borderId="2" xfId="0" applyFill="1" applyBorder="1" applyAlignment="1">
      <alignment horizontal="left" vertical="center"/>
    </xf>
    <xf numFmtId="0" fontId="4" fillId="8" borderId="2" xfId="0" applyFont="1" applyFill="1" applyBorder="1" applyAlignment="1">
      <alignment vertical="center" wrapText="1"/>
    </xf>
    <xf numFmtId="0" fontId="0" fillId="8" borderId="2" xfId="0" applyFill="1" applyBorder="1">
      <alignment vertical="center"/>
    </xf>
    <xf numFmtId="0" fontId="0" fillId="7" borderId="2" xfId="0" applyFill="1" applyBorder="1" applyAlignment="1">
      <alignment horizontal="right" vertical="center"/>
    </xf>
    <xf numFmtId="0" fontId="4" fillId="7" borderId="2" xfId="0" applyFont="1" applyFill="1" applyBorder="1">
      <alignment vertical="center"/>
    </xf>
    <xf numFmtId="0" fontId="0" fillId="0" borderId="2" xfId="0" applyBorder="1">
      <alignment vertical="center"/>
    </xf>
    <xf numFmtId="0" fontId="5" fillId="7" borderId="2" xfId="0" applyFont="1" applyFill="1" applyBorder="1" applyAlignment="1">
      <alignment horizontal="left" vertical="center"/>
    </xf>
    <xf numFmtId="0" fontId="0" fillId="7" borderId="2" xfId="0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3" borderId="2" xfId="0" applyFont="1" applyFill="1" applyBorder="1">
      <alignment vertical="center"/>
    </xf>
    <xf numFmtId="0" fontId="2" fillId="9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left" vertical="center"/>
    </xf>
    <xf numFmtId="0" fontId="3" fillId="10" borderId="2" xfId="0" applyFont="1" applyFill="1" applyBorder="1" applyAlignment="1">
      <alignment horizontal="left" vertical="center"/>
    </xf>
    <xf numFmtId="0" fontId="2" fillId="10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/>
    </xf>
    <xf numFmtId="0" fontId="8" fillId="3" borderId="2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 applyFont="1">
      <alignment vertical="center"/>
    </xf>
    <xf numFmtId="0" fontId="3" fillId="0" borderId="5" xfId="0" applyFont="1" applyBorder="1">
      <alignment vertical="center"/>
    </xf>
    <xf numFmtId="0" fontId="0" fillId="0" borderId="5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6"/>
  <sheetViews>
    <sheetView tabSelected="1" topLeftCell="A111" workbookViewId="0">
      <selection activeCell="E133" sqref="E133"/>
    </sheetView>
  </sheetViews>
  <sheetFormatPr defaultColWidth="9" defaultRowHeight="13.5"/>
  <cols>
    <col min="1" max="1" width="20.0916666666667" customWidth="1"/>
    <col min="2" max="3" width="10.625" customWidth="1"/>
    <col min="4" max="4" width="16.625" customWidth="1"/>
    <col min="5" max="5" width="20.125" customWidth="1"/>
    <col min="6" max="6" width="16.625" customWidth="1"/>
    <col min="7" max="7" width="32.625" customWidth="1"/>
    <col min="8" max="8" width="75.25" customWidth="1"/>
    <col min="9" max="9" width="32.625" customWidth="1"/>
  </cols>
  <sheetData>
    <row r="1" ht="27" spans="1:9">
      <c r="A1" s="41"/>
      <c r="B1" s="41"/>
      <c r="C1" s="41"/>
      <c r="D1" s="41"/>
      <c r="E1" s="42" t="s">
        <v>0</v>
      </c>
      <c r="F1" s="41"/>
    </row>
    <row r="2" ht="15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1" t="s">
        <v>7</v>
      </c>
      <c r="H2" s="1" t="s">
        <v>8</v>
      </c>
      <c r="I2" s="1" t="s">
        <v>9</v>
      </c>
    </row>
    <row r="3" ht="15" spans="1:9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3" t="s">
        <v>16</v>
      </c>
      <c r="H3" s="3" t="s">
        <v>17</v>
      </c>
      <c r="I3" s="3" t="s">
        <v>18</v>
      </c>
    </row>
    <row r="4" spans="1:9">
      <c r="A4" s="5" t="str">
        <f>B4&amp;"_"&amp;C4</f>
        <v>0_18</v>
      </c>
      <c r="B4" s="5">
        <v>0</v>
      </c>
      <c r="C4" s="5">
        <v>18</v>
      </c>
      <c r="D4" s="5">
        <v>6030501</v>
      </c>
      <c r="E4" s="5">
        <v>1</v>
      </c>
      <c r="F4" s="5">
        <v>8</v>
      </c>
      <c r="G4" s="5" t="s">
        <v>19</v>
      </c>
      <c r="H4" s="7" t="s">
        <v>20</v>
      </c>
      <c r="I4" s="7" t="s">
        <v>21</v>
      </c>
    </row>
    <row r="5" spans="1:9">
      <c r="A5" s="5" t="str">
        <f t="shared" ref="A5:A36" si="0">B5&amp;"_"&amp;C5</f>
        <v>0_17</v>
      </c>
      <c r="B5" s="5">
        <v>0</v>
      </c>
      <c r="C5" s="5">
        <v>17</v>
      </c>
      <c r="D5" s="5">
        <v>5020901</v>
      </c>
      <c r="E5" s="5">
        <v>2</v>
      </c>
      <c r="F5" s="5">
        <v>7</v>
      </c>
      <c r="G5" s="5" t="s">
        <v>19</v>
      </c>
      <c r="H5" s="7" t="s">
        <v>20</v>
      </c>
      <c r="I5" s="7" t="s">
        <v>21</v>
      </c>
    </row>
    <row r="6" spans="1:9">
      <c r="A6" s="5" t="str">
        <f t="shared" si="0"/>
        <v>0_16</v>
      </c>
      <c r="B6" s="5">
        <v>0</v>
      </c>
      <c r="C6" s="5">
        <v>16</v>
      </c>
      <c r="D6" s="5">
        <v>5020701</v>
      </c>
      <c r="E6" s="5">
        <v>2</v>
      </c>
      <c r="F6" s="5">
        <v>7</v>
      </c>
      <c r="G6" s="5" t="s">
        <v>19</v>
      </c>
      <c r="H6" s="7" t="s">
        <v>20</v>
      </c>
      <c r="I6" s="7" t="s">
        <v>21</v>
      </c>
    </row>
    <row r="7" s="40" customFormat="1" spans="1:9">
      <c r="A7" s="5" t="str">
        <f t="shared" si="0"/>
        <v>0_15</v>
      </c>
      <c r="B7" s="5">
        <v>0</v>
      </c>
      <c r="C7" s="5">
        <v>15</v>
      </c>
      <c r="D7" s="5">
        <v>5020501</v>
      </c>
      <c r="E7" s="5">
        <v>2</v>
      </c>
      <c r="F7" s="5">
        <v>7</v>
      </c>
      <c r="G7" s="5" t="s">
        <v>19</v>
      </c>
      <c r="H7" s="7" t="s">
        <v>20</v>
      </c>
      <c r="I7" s="7" t="s">
        <v>21</v>
      </c>
    </row>
    <row r="8" spans="1:9">
      <c r="A8" s="5" t="str">
        <f t="shared" si="0"/>
        <v>0_14</v>
      </c>
      <c r="B8" s="5">
        <v>0</v>
      </c>
      <c r="C8" s="5">
        <v>14</v>
      </c>
      <c r="D8" s="5">
        <v>5020901</v>
      </c>
      <c r="E8" s="5">
        <v>2</v>
      </c>
      <c r="F8" s="5">
        <v>6</v>
      </c>
      <c r="G8" s="5" t="s">
        <v>19</v>
      </c>
      <c r="H8" s="7" t="s">
        <v>20</v>
      </c>
      <c r="I8" s="7" t="s">
        <v>21</v>
      </c>
    </row>
    <row r="9" spans="1:9">
      <c r="A9" s="5" t="str">
        <f t="shared" si="0"/>
        <v>0_13</v>
      </c>
      <c r="B9" s="5">
        <v>0</v>
      </c>
      <c r="C9" s="5">
        <v>13</v>
      </c>
      <c r="D9" s="5">
        <v>5020701</v>
      </c>
      <c r="E9" s="5">
        <v>2</v>
      </c>
      <c r="F9" s="5">
        <v>6</v>
      </c>
      <c r="G9" s="5" t="s">
        <v>19</v>
      </c>
      <c r="H9" s="7" t="s">
        <v>20</v>
      </c>
      <c r="I9" s="7" t="s">
        <v>21</v>
      </c>
    </row>
    <row r="10" spans="1:9">
      <c r="A10" s="5" t="str">
        <f t="shared" si="0"/>
        <v>0_12</v>
      </c>
      <c r="B10" s="5">
        <v>0</v>
      </c>
      <c r="C10" s="5">
        <v>12</v>
      </c>
      <c r="D10" s="5">
        <v>5020501</v>
      </c>
      <c r="E10" s="5">
        <v>2</v>
      </c>
      <c r="F10" s="5">
        <v>6</v>
      </c>
      <c r="G10" s="5" t="s">
        <v>19</v>
      </c>
      <c r="H10" s="7" t="s">
        <v>20</v>
      </c>
      <c r="I10" s="7" t="s">
        <v>21</v>
      </c>
    </row>
    <row r="11" spans="1:9">
      <c r="A11" s="5" t="str">
        <f t="shared" si="0"/>
        <v>0_11</v>
      </c>
      <c r="B11" s="5">
        <v>0</v>
      </c>
      <c r="C11" s="5">
        <v>11</v>
      </c>
      <c r="D11" s="5">
        <v>5020301</v>
      </c>
      <c r="E11" s="5">
        <v>1</v>
      </c>
      <c r="F11" s="5">
        <v>6</v>
      </c>
      <c r="G11" s="5" t="s">
        <v>19</v>
      </c>
      <c r="H11" s="7" t="s">
        <v>20</v>
      </c>
      <c r="I11" s="7" t="s">
        <v>21</v>
      </c>
    </row>
    <row r="12" spans="1:9">
      <c r="A12" s="5" t="str">
        <f t="shared" si="0"/>
        <v>0_10</v>
      </c>
      <c r="B12" s="5">
        <v>0</v>
      </c>
      <c r="C12" s="5">
        <v>10</v>
      </c>
      <c r="D12" s="5">
        <v>5030501</v>
      </c>
      <c r="E12" s="5">
        <v>1</v>
      </c>
      <c r="F12" s="5">
        <v>5</v>
      </c>
      <c r="G12" s="5" t="s">
        <v>19</v>
      </c>
      <c r="H12" s="7" t="s">
        <v>20</v>
      </c>
      <c r="I12" s="7" t="s">
        <v>21</v>
      </c>
    </row>
    <row r="13" spans="1:9">
      <c r="A13" s="5" t="str">
        <f t="shared" si="0"/>
        <v>0_9</v>
      </c>
      <c r="B13" s="5">
        <v>0</v>
      </c>
      <c r="C13" s="5">
        <v>9</v>
      </c>
      <c r="D13" s="5">
        <v>5030301</v>
      </c>
      <c r="E13" s="5">
        <v>1</v>
      </c>
      <c r="F13" s="5">
        <v>5</v>
      </c>
      <c r="G13" s="5" t="s">
        <v>19</v>
      </c>
      <c r="H13" s="7" t="s">
        <v>20</v>
      </c>
      <c r="I13" s="7" t="s">
        <v>21</v>
      </c>
    </row>
    <row r="14" spans="1:9">
      <c r="A14" s="5" t="str">
        <f t="shared" si="0"/>
        <v>0_8</v>
      </c>
      <c r="B14" s="5">
        <v>0</v>
      </c>
      <c r="C14" s="5">
        <v>8</v>
      </c>
      <c r="D14" s="5">
        <v>5020701</v>
      </c>
      <c r="E14" s="5">
        <v>2</v>
      </c>
      <c r="F14" s="5">
        <v>4</v>
      </c>
      <c r="G14" s="5" t="s">
        <v>19</v>
      </c>
      <c r="H14" s="7" t="s">
        <v>20</v>
      </c>
      <c r="I14" s="7" t="s">
        <v>21</v>
      </c>
    </row>
    <row r="15" spans="1:9">
      <c r="A15" s="5" t="str">
        <f t="shared" si="0"/>
        <v>0_7</v>
      </c>
      <c r="B15" s="5">
        <v>0</v>
      </c>
      <c r="C15" s="5">
        <v>7</v>
      </c>
      <c r="D15" s="5">
        <v>5020501</v>
      </c>
      <c r="E15" s="5">
        <v>2</v>
      </c>
      <c r="F15" s="5">
        <v>4</v>
      </c>
      <c r="G15" s="5" t="s">
        <v>19</v>
      </c>
      <c r="H15" s="7" t="s">
        <v>20</v>
      </c>
      <c r="I15" s="7" t="s">
        <v>21</v>
      </c>
    </row>
    <row r="16" spans="1:9">
      <c r="A16" s="5" t="str">
        <f t="shared" si="0"/>
        <v>0_6</v>
      </c>
      <c r="B16" s="5">
        <v>0</v>
      </c>
      <c r="C16" s="5">
        <v>6</v>
      </c>
      <c r="D16" s="5">
        <v>5020501</v>
      </c>
      <c r="E16" s="5">
        <v>2</v>
      </c>
      <c r="F16" s="5">
        <v>3</v>
      </c>
      <c r="G16" s="5" t="s">
        <v>19</v>
      </c>
      <c r="H16" s="7" t="s">
        <v>20</v>
      </c>
      <c r="I16" s="7" t="s">
        <v>21</v>
      </c>
    </row>
    <row r="17" spans="1:9">
      <c r="A17" s="5" t="str">
        <f t="shared" si="0"/>
        <v>0_5</v>
      </c>
      <c r="B17" s="5">
        <v>0</v>
      </c>
      <c r="C17" s="5">
        <v>5</v>
      </c>
      <c r="D17" s="5">
        <v>5020401</v>
      </c>
      <c r="E17" s="5">
        <v>2</v>
      </c>
      <c r="F17" s="5">
        <v>3</v>
      </c>
      <c r="G17" s="5" t="s">
        <v>19</v>
      </c>
      <c r="H17" s="7" t="s">
        <v>20</v>
      </c>
      <c r="I17" s="7" t="s">
        <v>21</v>
      </c>
    </row>
    <row r="18" spans="1:9">
      <c r="A18" s="5" t="str">
        <f t="shared" si="0"/>
        <v>0_4</v>
      </c>
      <c r="B18" s="5">
        <v>0</v>
      </c>
      <c r="C18" s="5">
        <v>4</v>
      </c>
      <c r="D18" s="5">
        <v>5030201</v>
      </c>
      <c r="E18" s="5">
        <v>2</v>
      </c>
      <c r="F18" s="5">
        <v>3</v>
      </c>
      <c r="G18" s="5" t="s">
        <v>19</v>
      </c>
      <c r="H18" s="7" t="s">
        <v>20</v>
      </c>
      <c r="I18" s="7" t="s">
        <v>21</v>
      </c>
    </row>
    <row r="19" spans="1:9">
      <c r="A19" s="5" t="str">
        <f t="shared" si="0"/>
        <v>0_3</v>
      </c>
      <c r="B19" s="5">
        <v>0</v>
      </c>
      <c r="C19" s="5">
        <v>3</v>
      </c>
      <c r="D19" s="5">
        <v>5030201</v>
      </c>
      <c r="E19" s="5">
        <v>2</v>
      </c>
      <c r="F19" s="5">
        <v>3</v>
      </c>
      <c r="G19" s="5" t="s">
        <v>19</v>
      </c>
      <c r="H19" s="7" t="s">
        <v>20</v>
      </c>
      <c r="I19" s="7" t="s">
        <v>21</v>
      </c>
    </row>
    <row r="20" spans="1:9">
      <c r="A20" s="5" t="str">
        <f t="shared" si="0"/>
        <v>0_2</v>
      </c>
      <c r="B20" s="5">
        <v>0</v>
      </c>
      <c r="C20" s="5">
        <v>2</v>
      </c>
      <c r="D20" s="5">
        <v>5020301</v>
      </c>
      <c r="E20" s="5">
        <v>2</v>
      </c>
      <c r="F20" s="5">
        <v>1</v>
      </c>
      <c r="G20" s="5" t="s">
        <v>19</v>
      </c>
      <c r="H20" s="7" t="s">
        <v>20</v>
      </c>
      <c r="I20" s="7" t="s">
        <v>21</v>
      </c>
    </row>
    <row r="21" spans="1:9">
      <c r="A21" s="5" t="str">
        <f t="shared" si="0"/>
        <v>0_1</v>
      </c>
      <c r="B21" s="5">
        <v>0</v>
      </c>
      <c r="C21" s="5">
        <v>1</v>
      </c>
      <c r="D21" s="5">
        <v>5020101</v>
      </c>
      <c r="E21" s="5">
        <v>2</v>
      </c>
      <c r="F21" s="5">
        <v>1</v>
      </c>
      <c r="G21" s="5" t="s">
        <v>19</v>
      </c>
      <c r="H21" s="7" t="s">
        <v>20</v>
      </c>
      <c r="I21" s="7" t="s">
        <v>21</v>
      </c>
    </row>
    <row r="22" spans="1:9">
      <c r="A22" s="5" t="str">
        <f t="shared" si="0"/>
        <v>0_0</v>
      </c>
      <c r="B22" s="5">
        <v>0</v>
      </c>
      <c r="C22" s="5">
        <v>0</v>
      </c>
      <c r="D22" s="5">
        <v>5020301</v>
      </c>
      <c r="E22" s="5">
        <v>2</v>
      </c>
      <c r="F22" s="5">
        <v>1</v>
      </c>
      <c r="G22" s="5" t="s">
        <v>19</v>
      </c>
      <c r="H22" s="7" t="s">
        <v>20</v>
      </c>
      <c r="I22" s="7" t="s">
        <v>21</v>
      </c>
    </row>
    <row r="23" spans="1:9">
      <c r="A23" s="5" t="str">
        <f t="shared" si="0"/>
        <v>1_18</v>
      </c>
      <c r="B23" s="5">
        <v>1</v>
      </c>
      <c r="C23" s="5">
        <v>18</v>
      </c>
      <c r="D23" s="5">
        <v>6030101</v>
      </c>
      <c r="E23" s="5">
        <v>1</v>
      </c>
      <c r="F23" s="5">
        <v>8</v>
      </c>
      <c r="G23" s="5" t="s">
        <v>19</v>
      </c>
      <c r="H23" s="7" t="s">
        <v>20</v>
      </c>
      <c r="I23" s="7" t="s">
        <v>21</v>
      </c>
    </row>
    <row r="24" spans="1:9">
      <c r="A24" s="5" t="str">
        <f t="shared" si="0"/>
        <v>1_17</v>
      </c>
      <c r="B24" s="5">
        <v>1</v>
      </c>
      <c r="C24" s="5">
        <v>17</v>
      </c>
      <c r="D24" s="5">
        <v>6030401</v>
      </c>
      <c r="E24" s="5">
        <v>2</v>
      </c>
      <c r="F24" s="5">
        <v>7</v>
      </c>
      <c r="G24" s="5" t="s">
        <v>19</v>
      </c>
      <c r="H24" s="7" t="s">
        <v>20</v>
      </c>
      <c r="I24" s="7" t="s">
        <v>21</v>
      </c>
    </row>
    <row r="25" spans="1:9">
      <c r="A25" s="5" t="str">
        <f t="shared" si="0"/>
        <v>1_16</v>
      </c>
      <c r="B25" s="5">
        <v>1</v>
      </c>
      <c r="C25" s="5">
        <v>16</v>
      </c>
      <c r="D25" s="5">
        <v>5020701</v>
      </c>
      <c r="E25" s="5">
        <v>2</v>
      </c>
      <c r="F25" s="5">
        <v>7</v>
      </c>
      <c r="G25" s="5" t="s">
        <v>19</v>
      </c>
      <c r="H25" s="7" t="s">
        <v>20</v>
      </c>
      <c r="I25" s="7" t="s">
        <v>21</v>
      </c>
    </row>
    <row r="26" spans="1:9">
      <c r="A26" s="5" t="str">
        <f t="shared" si="0"/>
        <v>1_15</v>
      </c>
      <c r="B26" s="5">
        <v>1</v>
      </c>
      <c r="C26" s="5">
        <v>15</v>
      </c>
      <c r="D26" s="5">
        <v>5020501</v>
      </c>
      <c r="E26" s="5">
        <v>1</v>
      </c>
      <c r="F26" s="5">
        <v>7</v>
      </c>
      <c r="G26" s="5" t="s">
        <v>19</v>
      </c>
      <c r="H26" s="7" t="s">
        <v>20</v>
      </c>
      <c r="I26" s="7" t="s">
        <v>21</v>
      </c>
    </row>
    <row r="27" spans="1:9">
      <c r="A27" s="5" t="str">
        <f t="shared" si="0"/>
        <v>1_14</v>
      </c>
      <c r="B27" s="5">
        <v>1</v>
      </c>
      <c r="C27" s="5">
        <v>14</v>
      </c>
      <c r="D27" s="5">
        <v>5020701</v>
      </c>
      <c r="E27" s="5">
        <v>2</v>
      </c>
      <c r="F27" s="5">
        <v>6</v>
      </c>
      <c r="G27" s="5" t="s">
        <v>19</v>
      </c>
      <c r="H27" s="7" t="s">
        <v>20</v>
      </c>
      <c r="I27" s="7" t="s">
        <v>21</v>
      </c>
    </row>
    <row r="28" spans="1:9">
      <c r="A28" s="5" t="str">
        <f t="shared" si="0"/>
        <v>1_13</v>
      </c>
      <c r="B28" s="5">
        <v>1</v>
      </c>
      <c r="C28" s="5">
        <v>13</v>
      </c>
      <c r="D28" s="5">
        <v>5020501</v>
      </c>
      <c r="E28" s="5">
        <v>2</v>
      </c>
      <c r="F28" s="5">
        <v>6</v>
      </c>
      <c r="G28" s="5" t="s">
        <v>19</v>
      </c>
      <c r="H28" s="7" t="s">
        <v>20</v>
      </c>
      <c r="I28" s="7" t="s">
        <v>21</v>
      </c>
    </row>
    <row r="29" spans="1:9">
      <c r="A29" s="5" t="str">
        <f t="shared" si="0"/>
        <v>1_12</v>
      </c>
      <c r="B29" s="5">
        <v>1</v>
      </c>
      <c r="C29" s="5">
        <v>12</v>
      </c>
      <c r="D29" s="5">
        <v>6030301</v>
      </c>
      <c r="E29" s="5">
        <v>2</v>
      </c>
      <c r="F29" s="5">
        <v>6</v>
      </c>
      <c r="G29" s="5" t="s">
        <v>19</v>
      </c>
      <c r="H29" s="7" t="s">
        <v>20</v>
      </c>
      <c r="I29" s="7" t="s">
        <v>21</v>
      </c>
    </row>
    <row r="30" spans="1:9">
      <c r="A30" s="5" t="str">
        <f t="shared" si="0"/>
        <v>1_11</v>
      </c>
      <c r="B30" s="5">
        <v>1</v>
      </c>
      <c r="C30" s="5">
        <v>11</v>
      </c>
      <c r="D30" s="5">
        <v>5020301</v>
      </c>
      <c r="E30" s="5">
        <v>1</v>
      </c>
      <c r="F30" s="5">
        <v>6</v>
      </c>
      <c r="G30" s="5" t="s">
        <v>19</v>
      </c>
      <c r="H30" s="7" t="s">
        <v>20</v>
      </c>
      <c r="I30" s="7" t="s">
        <v>21</v>
      </c>
    </row>
    <row r="31" spans="1:9">
      <c r="A31" s="5" t="str">
        <f t="shared" si="0"/>
        <v>1_10</v>
      </c>
      <c r="B31" s="5">
        <v>1</v>
      </c>
      <c r="C31" s="5">
        <v>10</v>
      </c>
      <c r="D31" s="5">
        <v>5030301</v>
      </c>
      <c r="E31" s="5">
        <v>1</v>
      </c>
      <c r="F31" s="5">
        <v>5</v>
      </c>
      <c r="G31" s="5" t="s">
        <v>19</v>
      </c>
      <c r="H31" s="7" t="s">
        <v>20</v>
      </c>
      <c r="I31" s="7" t="s">
        <v>21</v>
      </c>
    </row>
    <row r="32" spans="1:9">
      <c r="A32" s="5" t="str">
        <f t="shared" si="0"/>
        <v>1_9</v>
      </c>
      <c r="B32" s="5">
        <v>1</v>
      </c>
      <c r="C32" s="5">
        <v>9</v>
      </c>
      <c r="D32" s="5">
        <v>5020201</v>
      </c>
      <c r="E32" s="5">
        <v>1</v>
      </c>
      <c r="F32" s="5">
        <v>5</v>
      </c>
      <c r="G32" s="5" t="s">
        <v>19</v>
      </c>
      <c r="H32" s="7" t="s">
        <v>20</v>
      </c>
      <c r="I32" s="7" t="s">
        <v>21</v>
      </c>
    </row>
    <row r="33" spans="1:9">
      <c r="A33" s="5" t="str">
        <f t="shared" si="0"/>
        <v>1_8</v>
      </c>
      <c r="B33" s="5">
        <v>1</v>
      </c>
      <c r="C33" s="5">
        <v>8</v>
      </c>
      <c r="D33" s="5">
        <v>5020501</v>
      </c>
      <c r="E33" s="5">
        <v>2</v>
      </c>
      <c r="F33" s="5">
        <v>4</v>
      </c>
      <c r="G33" s="5" t="s">
        <v>19</v>
      </c>
      <c r="H33" s="7" t="s">
        <v>20</v>
      </c>
      <c r="I33" s="7" t="s">
        <v>21</v>
      </c>
    </row>
    <row r="34" spans="1:9">
      <c r="A34" s="5" t="str">
        <f t="shared" si="0"/>
        <v>1_7</v>
      </c>
      <c r="B34" s="5">
        <v>1</v>
      </c>
      <c r="C34" s="5">
        <v>7</v>
      </c>
      <c r="D34" s="5">
        <v>5020301</v>
      </c>
      <c r="E34" s="5">
        <v>2</v>
      </c>
      <c r="F34" s="5">
        <v>4</v>
      </c>
      <c r="G34" s="5" t="s">
        <v>19</v>
      </c>
      <c r="H34" s="7" t="s">
        <v>20</v>
      </c>
      <c r="I34" s="7" t="s">
        <v>21</v>
      </c>
    </row>
    <row r="35" s="40" customFormat="1" spans="1:9">
      <c r="A35" s="5" t="str">
        <f t="shared" si="0"/>
        <v>1_6</v>
      </c>
      <c r="B35" s="5">
        <v>1</v>
      </c>
      <c r="C35" s="5">
        <v>6</v>
      </c>
      <c r="D35" s="5">
        <v>5030401</v>
      </c>
      <c r="E35" s="5">
        <v>2</v>
      </c>
      <c r="F35" s="5">
        <v>3</v>
      </c>
      <c r="G35" s="5" t="s">
        <v>19</v>
      </c>
      <c r="H35" s="7" t="s">
        <v>20</v>
      </c>
      <c r="I35" s="7" t="s">
        <v>21</v>
      </c>
    </row>
    <row r="36" spans="1:9">
      <c r="A36" s="5" t="str">
        <f t="shared" si="0"/>
        <v>1_5</v>
      </c>
      <c r="B36" s="5">
        <v>1</v>
      </c>
      <c r="C36" s="5">
        <v>5</v>
      </c>
      <c r="D36" s="5">
        <v>5020201</v>
      </c>
      <c r="E36" s="5">
        <v>2</v>
      </c>
      <c r="F36" s="5">
        <v>3</v>
      </c>
      <c r="G36" s="5" t="s">
        <v>19</v>
      </c>
      <c r="H36" s="7" t="s">
        <v>20</v>
      </c>
      <c r="I36" s="7" t="s">
        <v>21</v>
      </c>
    </row>
    <row r="37" spans="1:9">
      <c r="A37" s="5" t="str">
        <f t="shared" ref="A37:A68" si="1">B37&amp;"_"&amp;C37</f>
        <v>1_4</v>
      </c>
      <c r="B37" s="5">
        <v>1</v>
      </c>
      <c r="C37" s="5">
        <v>4</v>
      </c>
      <c r="D37" s="5">
        <v>5020201</v>
      </c>
      <c r="E37" s="5">
        <v>1</v>
      </c>
      <c r="F37" s="5">
        <v>3</v>
      </c>
      <c r="G37" s="5" t="s">
        <v>19</v>
      </c>
      <c r="H37" s="7" t="s">
        <v>20</v>
      </c>
      <c r="I37" s="7" t="s">
        <v>21</v>
      </c>
    </row>
    <row r="38" spans="1:9">
      <c r="A38" s="5" t="str">
        <f t="shared" si="1"/>
        <v>1_3</v>
      </c>
      <c r="B38" s="5">
        <v>1</v>
      </c>
      <c r="C38" s="5">
        <v>3</v>
      </c>
      <c r="D38" s="5">
        <v>5020101</v>
      </c>
      <c r="E38" s="5">
        <v>2</v>
      </c>
      <c r="F38" s="5">
        <v>3</v>
      </c>
      <c r="G38" s="5" t="s">
        <v>19</v>
      </c>
      <c r="H38" s="7" t="s">
        <v>20</v>
      </c>
      <c r="I38" s="7" t="s">
        <v>21</v>
      </c>
    </row>
    <row r="39" spans="1:9">
      <c r="A39" s="5" t="str">
        <f t="shared" si="1"/>
        <v>1_2</v>
      </c>
      <c r="B39" s="5">
        <v>1</v>
      </c>
      <c r="C39" s="5">
        <v>2</v>
      </c>
      <c r="D39" s="5">
        <v>5020101</v>
      </c>
      <c r="E39" s="5">
        <v>1</v>
      </c>
      <c r="F39" s="5">
        <v>1</v>
      </c>
      <c r="G39" s="5" t="s">
        <v>19</v>
      </c>
      <c r="H39" s="7" t="s">
        <v>20</v>
      </c>
      <c r="I39" s="7" t="s">
        <v>21</v>
      </c>
    </row>
    <row r="40" spans="1:9">
      <c r="A40" s="5" t="str">
        <f t="shared" si="1"/>
        <v>1_1</v>
      </c>
      <c r="B40" s="5">
        <v>1</v>
      </c>
      <c r="C40" s="5">
        <v>1</v>
      </c>
      <c r="D40" s="5">
        <v>5020101</v>
      </c>
      <c r="E40" s="5">
        <v>2</v>
      </c>
      <c r="F40" s="5">
        <v>1</v>
      </c>
      <c r="G40" s="5" t="s">
        <v>19</v>
      </c>
      <c r="H40" s="7" t="s">
        <v>20</v>
      </c>
      <c r="I40" s="7" t="s">
        <v>21</v>
      </c>
    </row>
    <row r="41" spans="1:9">
      <c r="A41" s="5" t="str">
        <f t="shared" si="1"/>
        <v>1_0</v>
      </c>
      <c r="B41" s="5">
        <v>1</v>
      </c>
      <c r="C41" s="5">
        <v>0</v>
      </c>
      <c r="D41" s="5">
        <v>5020101</v>
      </c>
      <c r="E41" s="5">
        <v>2</v>
      </c>
      <c r="F41" s="5">
        <v>1</v>
      </c>
      <c r="G41" s="5" t="s">
        <v>19</v>
      </c>
      <c r="H41" s="7" t="s">
        <v>20</v>
      </c>
      <c r="I41" s="7" t="s">
        <v>21</v>
      </c>
    </row>
    <row r="42" spans="1:9">
      <c r="A42" s="5" t="str">
        <f t="shared" si="1"/>
        <v>2_18</v>
      </c>
      <c r="B42" s="5">
        <v>2</v>
      </c>
      <c r="C42" s="5">
        <v>18</v>
      </c>
      <c r="D42" s="5">
        <v>6030301</v>
      </c>
      <c r="E42" s="5">
        <v>1</v>
      </c>
      <c r="F42" s="5">
        <v>8</v>
      </c>
      <c r="G42" s="5" t="s">
        <v>19</v>
      </c>
      <c r="H42" s="7" t="s">
        <v>20</v>
      </c>
      <c r="I42" s="7" t="s">
        <v>21</v>
      </c>
    </row>
    <row r="43" spans="1:9">
      <c r="A43" s="5" t="str">
        <f t="shared" si="1"/>
        <v>2_17</v>
      </c>
      <c r="B43" s="5">
        <v>2</v>
      </c>
      <c r="C43" s="5">
        <v>17</v>
      </c>
      <c r="D43" s="5">
        <v>6030101</v>
      </c>
      <c r="E43" s="5">
        <v>1</v>
      </c>
      <c r="F43" s="5">
        <v>8</v>
      </c>
      <c r="G43" s="5" t="s">
        <v>19</v>
      </c>
      <c r="H43" s="7" t="s">
        <v>20</v>
      </c>
      <c r="I43" s="7" t="s">
        <v>21</v>
      </c>
    </row>
    <row r="44" spans="1:9">
      <c r="A44" s="5" t="str">
        <f t="shared" si="1"/>
        <v>2_16</v>
      </c>
      <c r="B44" s="5">
        <v>2</v>
      </c>
      <c r="C44" s="5">
        <v>16</v>
      </c>
      <c r="D44" s="5">
        <v>5030301</v>
      </c>
      <c r="E44" s="5">
        <v>2</v>
      </c>
      <c r="F44" s="5">
        <v>7</v>
      </c>
      <c r="G44" s="5" t="s">
        <v>19</v>
      </c>
      <c r="H44" s="7" t="s">
        <v>20</v>
      </c>
      <c r="I44" s="7" t="s">
        <v>21</v>
      </c>
    </row>
    <row r="45" spans="1:9">
      <c r="A45" s="5" t="str">
        <f t="shared" si="1"/>
        <v>2_15</v>
      </c>
      <c r="B45" s="5">
        <v>2</v>
      </c>
      <c r="C45" s="5">
        <v>15</v>
      </c>
      <c r="D45" s="5">
        <v>5020701</v>
      </c>
      <c r="E45" s="5">
        <v>2</v>
      </c>
      <c r="F45" s="5">
        <v>7</v>
      </c>
      <c r="G45" s="5" t="s">
        <v>19</v>
      </c>
      <c r="H45" s="7" t="s">
        <v>20</v>
      </c>
      <c r="I45" s="7" t="s">
        <v>21</v>
      </c>
    </row>
    <row r="46" spans="1:9">
      <c r="A46" s="5" t="str">
        <f t="shared" si="1"/>
        <v>2_14</v>
      </c>
      <c r="B46" s="5">
        <v>2</v>
      </c>
      <c r="C46" s="5">
        <v>14</v>
      </c>
      <c r="D46" s="5">
        <v>5020501</v>
      </c>
      <c r="E46" s="5">
        <v>2</v>
      </c>
      <c r="F46" s="5">
        <v>6</v>
      </c>
      <c r="G46" s="5" t="s">
        <v>19</v>
      </c>
      <c r="H46" s="7" t="s">
        <v>20</v>
      </c>
      <c r="I46" s="7" t="s">
        <v>21</v>
      </c>
    </row>
    <row r="47" spans="1:9">
      <c r="A47" s="5" t="str">
        <f t="shared" si="1"/>
        <v>2_13</v>
      </c>
      <c r="B47" s="5">
        <v>2</v>
      </c>
      <c r="C47" s="5">
        <v>13</v>
      </c>
      <c r="D47" s="5">
        <v>6030301</v>
      </c>
      <c r="E47" s="5">
        <v>2</v>
      </c>
      <c r="F47" s="5">
        <v>6</v>
      </c>
      <c r="G47" s="5" t="s">
        <v>19</v>
      </c>
      <c r="H47" s="7" t="s">
        <v>20</v>
      </c>
      <c r="I47" s="7" t="s">
        <v>21</v>
      </c>
    </row>
    <row r="48" spans="1:9">
      <c r="A48" s="5" t="str">
        <f t="shared" si="1"/>
        <v>2_12</v>
      </c>
      <c r="B48" s="5">
        <v>2</v>
      </c>
      <c r="C48" s="5">
        <v>12</v>
      </c>
      <c r="D48" s="5">
        <v>5020501</v>
      </c>
      <c r="E48" s="5">
        <v>2</v>
      </c>
      <c r="F48" s="5">
        <v>6</v>
      </c>
      <c r="G48" s="5" t="s">
        <v>19</v>
      </c>
      <c r="H48" s="7" t="s">
        <v>20</v>
      </c>
      <c r="I48" s="7" t="s">
        <v>21</v>
      </c>
    </row>
    <row r="49" spans="1:9">
      <c r="A49" s="5" t="str">
        <f t="shared" si="1"/>
        <v>2_11</v>
      </c>
      <c r="B49" s="5">
        <v>2</v>
      </c>
      <c r="C49" s="5">
        <v>11</v>
      </c>
      <c r="D49" s="5">
        <v>5020301</v>
      </c>
      <c r="E49" s="5">
        <v>1</v>
      </c>
      <c r="F49" s="5">
        <v>6</v>
      </c>
      <c r="G49" s="5" t="s">
        <v>19</v>
      </c>
      <c r="H49" s="7" t="s">
        <v>20</v>
      </c>
      <c r="I49" s="7" t="s">
        <v>21</v>
      </c>
    </row>
    <row r="50" spans="1:9">
      <c r="A50" s="5" t="str">
        <f t="shared" si="1"/>
        <v>2_10</v>
      </c>
      <c r="B50" s="5">
        <v>2</v>
      </c>
      <c r="C50" s="5">
        <v>10</v>
      </c>
      <c r="D50" s="5">
        <v>5020201</v>
      </c>
      <c r="E50" s="5">
        <v>2</v>
      </c>
      <c r="F50" s="5">
        <v>5</v>
      </c>
      <c r="G50" s="5" t="s">
        <v>19</v>
      </c>
      <c r="H50" s="7" t="s">
        <v>20</v>
      </c>
      <c r="I50" s="7" t="s">
        <v>21</v>
      </c>
    </row>
    <row r="51" spans="1:9">
      <c r="A51" s="5" t="str">
        <f t="shared" si="1"/>
        <v>2_9</v>
      </c>
      <c r="B51" s="5">
        <v>2</v>
      </c>
      <c r="C51" s="5">
        <v>9</v>
      </c>
      <c r="D51" s="5">
        <v>5020401</v>
      </c>
      <c r="E51" s="5">
        <v>2</v>
      </c>
      <c r="F51" s="5">
        <v>5</v>
      </c>
      <c r="G51" s="5" t="s">
        <v>19</v>
      </c>
      <c r="H51" s="7" t="s">
        <v>20</v>
      </c>
      <c r="I51" s="7" t="s">
        <v>21</v>
      </c>
    </row>
    <row r="52" spans="1:9">
      <c r="A52" s="5" t="str">
        <f t="shared" si="1"/>
        <v>2_8</v>
      </c>
      <c r="B52" s="5">
        <v>2</v>
      </c>
      <c r="C52" s="5">
        <v>8</v>
      </c>
      <c r="D52" s="5">
        <v>5030301</v>
      </c>
      <c r="E52" s="5">
        <v>2</v>
      </c>
      <c r="F52" s="5">
        <v>4</v>
      </c>
      <c r="G52" s="5" t="s">
        <v>19</v>
      </c>
      <c r="H52" s="7" t="s">
        <v>20</v>
      </c>
      <c r="I52" s="7" t="s">
        <v>21</v>
      </c>
    </row>
    <row r="53" spans="1:9">
      <c r="A53" s="5" t="str">
        <f t="shared" si="1"/>
        <v>2_7</v>
      </c>
      <c r="B53" s="5">
        <v>2</v>
      </c>
      <c r="C53" s="5">
        <v>7</v>
      </c>
      <c r="D53" s="5">
        <v>5020301</v>
      </c>
      <c r="E53" s="5">
        <v>2</v>
      </c>
      <c r="F53" s="5">
        <v>4</v>
      </c>
      <c r="G53" s="5" t="s">
        <v>19</v>
      </c>
      <c r="H53" s="7" t="s">
        <v>20</v>
      </c>
      <c r="I53" s="7" t="s">
        <v>21</v>
      </c>
    </row>
    <row r="54" spans="1:9">
      <c r="A54" s="5" t="str">
        <f t="shared" si="1"/>
        <v>2_6</v>
      </c>
      <c r="B54" s="5">
        <v>2</v>
      </c>
      <c r="C54" s="5">
        <v>6</v>
      </c>
      <c r="D54" s="5">
        <v>5020101</v>
      </c>
      <c r="E54" s="5">
        <v>1</v>
      </c>
      <c r="F54" s="5">
        <v>4</v>
      </c>
      <c r="G54" s="5" t="s">
        <v>19</v>
      </c>
      <c r="H54" s="7" t="s">
        <v>20</v>
      </c>
      <c r="I54" s="7" t="s">
        <v>21</v>
      </c>
    </row>
    <row r="55" spans="1:9">
      <c r="A55" s="5" t="str">
        <f t="shared" si="1"/>
        <v>2_5</v>
      </c>
      <c r="B55" s="5">
        <v>2</v>
      </c>
      <c r="C55" s="5">
        <v>5</v>
      </c>
      <c r="D55" s="5">
        <v>5020201</v>
      </c>
      <c r="E55" s="5">
        <v>1</v>
      </c>
      <c r="F55" s="5">
        <v>3</v>
      </c>
      <c r="G55" s="5" t="s">
        <v>19</v>
      </c>
      <c r="H55" s="7" t="s">
        <v>20</v>
      </c>
      <c r="I55" s="7" t="s">
        <v>21</v>
      </c>
    </row>
    <row r="56" spans="1:9">
      <c r="A56" s="5" t="str">
        <f t="shared" si="1"/>
        <v>2_4</v>
      </c>
      <c r="B56" s="5">
        <v>2</v>
      </c>
      <c r="C56" s="5">
        <v>4</v>
      </c>
      <c r="D56" s="5">
        <v>5020101</v>
      </c>
      <c r="E56" s="5">
        <v>1</v>
      </c>
      <c r="F56" s="5">
        <v>0</v>
      </c>
      <c r="G56" s="5" t="s">
        <v>19</v>
      </c>
      <c r="H56" s="7" t="s">
        <v>20</v>
      </c>
      <c r="I56" s="7" t="s">
        <v>21</v>
      </c>
    </row>
    <row r="57" spans="1:9">
      <c r="A57" s="5" t="str">
        <f t="shared" si="1"/>
        <v>2_3</v>
      </c>
      <c r="B57" s="5">
        <v>2</v>
      </c>
      <c r="C57" s="5">
        <v>3</v>
      </c>
      <c r="D57" s="5"/>
      <c r="E57" s="5">
        <v>0</v>
      </c>
      <c r="F57" s="5">
        <v>0</v>
      </c>
      <c r="G57" s="5" t="s">
        <v>19</v>
      </c>
      <c r="H57" s="7" t="s">
        <v>20</v>
      </c>
      <c r="I57" s="7" t="s">
        <v>21</v>
      </c>
    </row>
    <row r="58" spans="1:9">
      <c r="A58" s="5" t="str">
        <f t="shared" si="1"/>
        <v>2_2</v>
      </c>
      <c r="B58" s="5">
        <v>2</v>
      </c>
      <c r="C58" s="5">
        <v>2</v>
      </c>
      <c r="D58" s="5">
        <v>5020101</v>
      </c>
      <c r="E58" s="5">
        <v>1</v>
      </c>
      <c r="F58" s="5">
        <v>0</v>
      </c>
      <c r="G58" s="5" t="s">
        <v>19</v>
      </c>
      <c r="H58" s="7" t="s">
        <v>20</v>
      </c>
      <c r="I58" s="7" t="s">
        <v>21</v>
      </c>
    </row>
    <row r="59" spans="1:9">
      <c r="A59" s="5" t="str">
        <f t="shared" si="1"/>
        <v>2_1</v>
      </c>
      <c r="B59" s="5">
        <v>2</v>
      </c>
      <c r="C59" s="5">
        <v>1</v>
      </c>
      <c r="D59" s="5">
        <v>5020101</v>
      </c>
      <c r="E59" s="5">
        <v>1</v>
      </c>
      <c r="F59" s="5">
        <v>1</v>
      </c>
      <c r="G59" s="5" t="s">
        <v>19</v>
      </c>
      <c r="H59" s="7" t="s">
        <v>20</v>
      </c>
      <c r="I59" s="7" t="s">
        <v>21</v>
      </c>
    </row>
    <row r="60" spans="1:9">
      <c r="A60" s="5" t="str">
        <f t="shared" si="1"/>
        <v>2_0</v>
      </c>
      <c r="B60" s="5">
        <v>2</v>
      </c>
      <c r="C60" s="5">
        <v>0</v>
      </c>
      <c r="D60" s="5">
        <v>5020301</v>
      </c>
      <c r="E60" s="5">
        <v>2</v>
      </c>
      <c r="F60" s="5">
        <v>1</v>
      </c>
      <c r="G60" s="5" t="s">
        <v>19</v>
      </c>
      <c r="H60" s="7" t="s">
        <v>20</v>
      </c>
      <c r="I60" s="7" t="s">
        <v>21</v>
      </c>
    </row>
    <row r="61" spans="1:9">
      <c r="A61" s="5" t="str">
        <f t="shared" si="1"/>
        <v>3_18</v>
      </c>
      <c r="B61" s="5">
        <v>3</v>
      </c>
      <c r="C61" s="5">
        <v>18</v>
      </c>
      <c r="D61" s="5">
        <v>6030101</v>
      </c>
      <c r="E61" s="5">
        <v>1</v>
      </c>
      <c r="F61" s="5">
        <v>8</v>
      </c>
      <c r="G61" s="5" t="s">
        <v>19</v>
      </c>
      <c r="H61" s="7" t="s">
        <v>20</v>
      </c>
      <c r="I61" s="7" t="s">
        <v>21</v>
      </c>
    </row>
    <row r="62" spans="1:9">
      <c r="A62" s="5" t="str">
        <f t="shared" si="1"/>
        <v>3_17</v>
      </c>
      <c r="B62" s="5">
        <v>3</v>
      </c>
      <c r="C62" s="5">
        <v>17</v>
      </c>
      <c r="D62" s="5">
        <v>6030301</v>
      </c>
      <c r="E62" s="5">
        <v>1</v>
      </c>
      <c r="F62" s="5">
        <v>8</v>
      </c>
      <c r="G62" s="5" t="s">
        <v>19</v>
      </c>
      <c r="H62" s="7" t="s">
        <v>20</v>
      </c>
      <c r="I62" s="7" t="s">
        <v>21</v>
      </c>
    </row>
    <row r="63" s="40" customFormat="1" spans="1:9">
      <c r="A63" s="5" t="str">
        <f t="shared" si="1"/>
        <v>3_16</v>
      </c>
      <c r="B63" s="5">
        <v>3</v>
      </c>
      <c r="C63" s="5">
        <v>16</v>
      </c>
      <c r="D63" s="5">
        <v>5020701</v>
      </c>
      <c r="E63" s="5">
        <v>2</v>
      </c>
      <c r="F63" s="5">
        <v>7</v>
      </c>
      <c r="G63" s="5" t="s">
        <v>19</v>
      </c>
      <c r="H63" s="7" t="s">
        <v>20</v>
      </c>
      <c r="I63" s="7" t="s">
        <v>21</v>
      </c>
    </row>
    <row r="64" spans="1:9">
      <c r="A64" s="5" t="str">
        <f t="shared" si="1"/>
        <v>3_15</v>
      </c>
      <c r="B64" s="5">
        <v>3</v>
      </c>
      <c r="C64" s="5">
        <v>15</v>
      </c>
      <c r="D64" s="5">
        <v>5020501</v>
      </c>
      <c r="E64" s="5">
        <v>2</v>
      </c>
      <c r="F64" s="5">
        <v>7</v>
      </c>
      <c r="G64" s="5" t="s">
        <v>19</v>
      </c>
      <c r="H64" s="7" t="s">
        <v>20</v>
      </c>
      <c r="I64" s="7" t="s">
        <v>21</v>
      </c>
    </row>
    <row r="65" spans="1:9">
      <c r="A65" s="5" t="str">
        <f t="shared" si="1"/>
        <v>3_14</v>
      </c>
      <c r="B65" s="5">
        <v>3</v>
      </c>
      <c r="C65" s="5">
        <v>14</v>
      </c>
      <c r="D65" s="5">
        <v>5020301</v>
      </c>
      <c r="E65" s="5">
        <v>1</v>
      </c>
      <c r="F65" s="5">
        <v>7</v>
      </c>
      <c r="G65" s="5" t="s">
        <v>19</v>
      </c>
      <c r="H65" s="7" t="s">
        <v>20</v>
      </c>
      <c r="I65" s="7" t="s">
        <v>21</v>
      </c>
    </row>
    <row r="66" spans="1:9">
      <c r="A66" s="5" t="str">
        <f t="shared" si="1"/>
        <v>3_13</v>
      </c>
      <c r="B66" s="5">
        <v>3</v>
      </c>
      <c r="C66" s="5">
        <v>13</v>
      </c>
      <c r="D66" s="5">
        <v>5020501</v>
      </c>
      <c r="E66" s="5">
        <v>2</v>
      </c>
      <c r="F66" s="5">
        <v>6</v>
      </c>
      <c r="G66" s="5" t="s">
        <v>19</v>
      </c>
      <c r="H66" s="7" t="s">
        <v>20</v>
      </c>
      <c r="I66" s="7" t="s">
        <v>21</v>
      </c>
    </row>
    <row r="67" spans="1:9">
      <c r="A67" s="5" t="str">
        <f t="shared" si="1"/>
        <v>3_12</v>
      </c>
      <c r="B67" s="5">
        <v>3</v>
      </c>
      <c r="C67" s="5">
        <v>12</v>
      </c>
      <c r="D67" s="5">
        <v>5020301</v>
      </c>
      <c r="E67" s="5">
        <v>1</v>
      </c>
      <c r="F67" s="5">
        <v>6</v>
      </c>
      <c r="G67" s="5" t="s">
        <v>19</v>
      </c>
      <c r="H67" s="7" t="s">
        <v>20</v>
      </c>
      <c r="I67" s="7" t="s">
        <v>21</v>
      </c>
    </row>
    <row r="68" spans="1:9">
      <c r="A68" s="5" t="str">
        <f t="shared" si="1"/>
        <v>3_11</v>
      </c>
      <c r="B68" s="5">
        <v>3</v>
      </c>
      <c r="C68" s="5">
        <v>11</v>
      </c>
      <c r="D68" s="5">
        <v>5020801</v>
      </c>
      <c r="E68" s="5">
        <v>2</v>
      </c>
      <c r="F68" s="5">
        <v>5</v>
      </c>
      <c r="G68" s="5" t="s">
        <v>19</v>
      </c>
      <c r="H68" s="7" t="s">
        <v>20</v>
      </c>
      <c r="I68" s="7" t="s">
        <v>21</v>
      </c>
    </row>
    <row r="69" spans="1:9">
      <c r="A69" s="5" t="str">
        <f t="shared" ref="A69:A100" si="2">B69&amp;"_"&amp;C69</f>
        <v>3_10</v>
      </c>
      <c r="B69" s="5">
        <v>3</v>
      </c>
      <c r="C69" s="5">
        <v>10</v>
      </c>
      <c r="D69" s="5">
        <v>5020401</v>
      </c>
      <c r="E69" s="5">
        <v>2</v>
      </c>
      <c r="F69" s="5">
        <v>5</v>
      </c>
      <c r="G69" s="5" t="s">
        <v>19</v>
      </c>
      <c r="H69" s="7" t="s">
        <v>20</v>
      </c>
      <c r="I69" s="7" t="s">
        <v>21</v>
      </c>
    </row>
    <row r="70" spans="1:9">
      <c r="A70" s="5" t="str">
        <f t="shared" si="2"/>
        <v>3_9</v>
      </c>
      <c r="B70" s="5">
        <v>3</v>
      </c>
      <c r="C70" s="5">
        <v>9</v>
      </c>
      <c r="D70" s="5">
        <v>5020201</v>
      </c>
      <c r="E70" s="5">
        <v>2</v>
      </c>
      <c r="F70" s="5">
        <v>5</v>
      </c>
      <c r="G70" s="5" t="s">
        <v>19</v>
      </c>
      <c r="H70" s="7" t="s">
        <v>20</v>
      </c>
      <c r="I70" s="7" t="s">
        <v>21</v>
      </c>
    </row>
    <row r="71" spans="1:9">
      <c r="A71" s="5" t="str">
        <f t="shared" si="2"/>
        <v>3_8</v>
      </c>
      <c r="B71" s="5">
        <v>3</v>
      </c>
      <c r="C71" s="5">
        <v>8</v>
      </c>
      <c r="D71" s="5">
        <v>5020201</v>
      </c>
      <c r="E71" s="5">
        <v>1</v>
      </c>
      <c r="F71" s="5">
        <v>5</v>
      </c>
      <c r="G71" s="5" t="s">
        <v>19</v>
      </c>
      <c r="H71" s="7" t="s">
        <v>20</v>
      </c>
      <c r="I71" s="7" t="s">
        <v>21</v>
      </c>
    </row>
    <row r="72" spans="1:9">
      <c r="A72" s="5" t="str">
        <f t="shared" si="2"/>
        <v>3_7</v>
      </c>
      <c r="B72" s="5">
        <v>3</v>
      </c>
      <c r="C72" s="5">
        <v>7</v>
      </c>
      <c r="D72" s="5">
        <v>5020301</v>
      </c>
      <c r="E72" s="5">
        <v>2</v>
      </c>
      <c r="F72" s="5">
        <v>4</v>
      </c>
      <c r="G72" s="5" t="s">
        <v>19</v>
      </c>
      <c r="H72" s="7" t="s">
        <v>20</v>
      </c>
      <c r="I72" s="7" t="s">
        <v>21</v>
      </c>
    </row>
    <row r="73" spans="1:9">
      <c r="A73" s="5" t="str">
        <f t="shared" si="2"/>
        <v>3_6</v>
      </c>
      <c r="B73" s="5">
        <v>3</v>
      </c>
      <c r="C73" s="5">
        <v>6</v>
      </c>
      <c r="D73" s="5">
        <v>5020101</v>
      </c>
      <c r="E73" s="5">
        <v>1</v>
      </c>
      <c r="F73" s="5">
        <v>4</v>
      </c>
      <c r="G73" s="5" t="s">
        <v>19</v>
      </c>
      <c r="H73" s="7" t="s">
        <v>20</v>
      </c>
      <c r="I73" s="7" t="s">
        <v>21</v>
      </c>
    </row>
    <row r="74" spans="1:9">
      <c r="A74" s="5" t="str">
        <f t="shared" si="2"/>
        <v>3_5</v>
      </c>
      <c r="B74" s="5">
        <v>3</v>
      </c>
      <c r="C74" s="5">
        <v>5</v>
      </c>
      <c r="D74" s="5">
        <v>5020101</v>
      </c>
      <c r="E74" s="5">
        <v>2</v>
      </c>
      <c r="F74" s="5">
        <v>3</v>
      </c>
      <c r="G74" s="5" t="s">
        <v>19</v>
      </c>
      <c r="H74" s="7" t="s">
        <v>20</v>
      </c>
      <c r="I74" s="7" t="s">
        <v>21</v>
      </c>
    </row>
    <row r="75" spans="1:9">
      <c r="A75" s="5" t="str">
        <f t="shared" si="2"/>
        <v>3_4</v>
      </c>
      <c r="B75" s="5">
        <v>3</v>
      </c>
      <c r="C75" s="5">
        <v>4</v>
      </c>
      <c r="D75" s="5"/>
      <c r="E75" s="5">
        <v>0</v>
      </c>
      <c r="F75" s="5">
        <v>0</v>
      </c>
      <c r="G75" s="5" t="s">
        <v>19</v>
      </c>
      <c r="H75" s="7" t="s">
        <v>20</v>
      </c>
      <c r="I75" s="7" t="s">
        <v>21</v>
      </c>
    </row>
    <row r="76" spans="1:9">
      <c r="A76" s="5" t="str">
        <f t="shared" si="2"/>
        <v>3_3</v>
      </c>
      <c r="B76" s="5">
        <v>3</v>
      </c>
      <c r="C76" s="5">
        <v>3</v>
      </c>
      <c r="D76" s="5"/>
      <c r="E76" s="5">
        <v>0</v>
      </c>
      <c r="F76" s="5">
        <v>0</v>
      </c>
      <c r="G76" s="5" t="s">
        <v>19</v>
      </c>
      <c r="H76" s="7" t="s">
        <v>20</v>
      </c>
      <c r="I76" s="7" t="s">
        <v>21</v>
      </c>
    </row>
    <row r="77" spans="1:9">
      <c r="A77" s="5" t="str">
        <f t="shared" si="2"/>
        <v>3_2</v>
      </c>
      <c r="B77" s="5">
        <v>3</v>
      </c>
      <c r="C77" s="5">
        <v>2</v>
      </c>
      <c r="D77" s="5"/>
      <c r="E77" s="5">
        <v>0</v>
      </c>
      <c r="F77" s="5">
        <v>0</v>
      </c>
      <c r="G77" s="5" t="s">
        <v>19</v>
      </c>
      <c r="H77" s="7" t="s">
        <v>20</v>
      </c>
      <c r="I77" s="7" t="s">
        <v>21</v>
      </c>
    </row>
    <row r="78" spans="1:9">
      <c r="A78" s="5" t="str">
        <f t="shared" si="2"/>
        <v>3_1</v>
      </c>
      <c r="B78" s="5">
        <v>3</v>
      </c>
      <c r="C78" s="5">
        <v>1</v>
      </c>
      <c r="D78" s="5">
        <v>5030501</v>
      </c>
      <c r="E78" s="5">
        <v>0</v>
      </c>
      <c r="F78" s="5">
        <v>2</v>
      </c>
      <c r="G78" s="5" t="s">
        <v>19</v>
      </c>
      <c r="H78" s="7" t="s">
        <v>20</v>
      </c>
      <c r="I78" s="7" t="s">
        <v>21</v>
      </c>
    </row>
    <row r="79" spans="1:9">
      <c r="A79" s="5" t="str">
        <f t="shared" si="2"/>
        <v>3_0</v>
      </c>
      <c r="B79" s="5">
        <v>3</v>
      </c>
      <c r="C79" s="5">
        <v>0</v>
      </c>
      <c r="D79" s="5">
        <v>5030501</v>
      </c>
      <c r="E79" s="5">
        <v>1</v>
      </c>
      <c r="F79" s="5">
        <v>2</v>
      </c>
      <c r="G79" s="5" t="s">
        <v>19</v>
      </c>
      <c r="H79" s="7" t="s">
        <v>20</v>
      </c>
      <c r="I79" s="7" t="s">
        <v>21</v>
      </c>
    </row>
    <row r="80" spans="1:9">
      <c r="A80" s="5" t="str">
        <f t="shared" si="2"/>
        <v>4_18</v>
      </c>
      <c r="B80" s="5">
        <v>4</v>
      </c>
      <c r="C80" s="5">
        <v>18</v>
      </c>
      <c r="D80" s="5">
        <v>6030301</v>
      </c>
      <c r="E80" s="5">
        <v>1</v>
      </c>
      <c r="F80" s="5">
        <v>8</v>
      </c>
      <c r="G80" s="5" t="s">
        <v>19</v>
      </c>
      <c r="H80" s="7" t="s">
        <v>20</v>
      </c>
      <c r="I80" s="7" t="s">
        <v>21</v>
      </c>
    </row>
    <row r="81" spans="1:9">
      <c r="A81" s="5" t="str">
        <f t="shared" si="2"/>
        <v>4_17</v>
      </c>
      <c r="B81" s="5">
        <v>4</v>
      </c>
      <c r="C81" s="5">
        <v>17</v>
      </c>
      <c r="D81" s="5">
        <v>5020901</v>
      </c>
      <c r="E81" s="5">
        <v>2</v>
      </c>
      <c r="F81" s="5">
        <v>7</v>
      </c>
      <c r="G81" s="5" t="s">
        <v>19</v>
      </c>
      <c r="H81" s="7" t="s">
        <v>20</v>
      </c>
      <c r="I81" s="7" t="s">
        <v>21</v>
      </c>
    </row>
    <row r="82" spans="1:9">
      <c r="A82" s="5" t="str">
        <f t="shared" si="2"/>
        <v>4_16</v>
      </c>
      <c r="B82" s="5">
        <v>4</v>
      </c>
      <c r="C82" s="5">
        <v>16</v>
      </c>
      <c r="D82" s="5">
        <v>5020701</v>
      </c>
      <c r="E82" s="5">
        <v>2</v>
      </c>
      <c r="F82" s="5">
        <v>7</v>
      </c>
      <c r="G82" s="5" t="s">
        <v>19</v>
      </c>
      <c r="H82" s="7" t="s">
        <v>20</v>
      </c>
      <c r="I82" s="7" t="s">
        <v>21</v>
      </c>
    </row>
    <row r="83" spans="1:9">
      <c r="A83" s="5" t="str">
        <f t="shared" si="2"/>
        <v>4_15</v>
      </c>
      <c r="B83" s="5">
        <v>4</v>
      </c>
      <c r="C83" s="5">
        <v>15</v>
      </c>
      <c r="D83" s="5">
        <v>6030201</v>
      </c>
      <c r="E83" s="5">
        <v>2</v>
      </c>
      <c r="F83" s="5">
        <v>7</v>
      </c>
      <c r="G83" s="5" t="s">
        <v>19</v>
      </c>
      <c r="H83" s="7" t="s">
        <v>20</v>
      </c>
      <c r="I83" s="7" t="s">
        <v>21</v>
      </c>
    </row>
    <row r="84" spans="1:9">
      <c r="A84" s="5" t="str">
        <f t="shared" si="2"/>
        <v>4_14</v>
      </c>
      <c r="B84" s="5">
        <v>4</v>
      </c>
      <c r="C84" s="5">
        <v>14</v>
      </c>
      <c r="D84" s="5">
        <v>5020501</v>
      </c>
      <c r="E84" s="5">
        <v>1</v>
      </c>
      <c r="F84" s="5">
        <v>7</v>
      </c>
      <c r="G84" s="5" t="s">
        <v>19</v>
      </c>
      <c r="H84" s="7" t="s">
        <v>20</v>
      </c>
      <c r="I84" s="7" t="s">
        <v>21</v>
      </c>
    </row>
    <row r="85" spans="1:9">
      <c r="A85" s="5" t="str">
        <f t="shared" si="2"/>
        <v>4_13</v>
      </c>
      <c r="B85" s="5">
        <v>4</v>
      </c>
      <c r="C85" s="5">
        <v>13</v>
      </c>
      <c r="D85" s="5">
        <v>5020501</v>
      </c>
      <c r="E85" s="5">
        <v>2</v>
      </c>
      <c r="F85" s="5">
        <v>6</v>
      </c>
      <c r="G85" s="5" t="s">
        <v>19</v>
      </c>
      <c r="H85" s="7" t="s">
        <v>20</v>
      </c>
      <c r="I85" s="7" t="s">
        <v>21</v>
      </c>
    </row>
    <row r="86" spans="1:9">
      <c r="A86" s="5" t="str">
        <f t="shared" si="2"/>
        <v>4_12</v>
      </c>
      <c r="B86" s="5">
        <v>4</v>
      </c>
      <c r="C86" s="5">
        <v>12</v>
      </c>
      <c r="D86" s="5">
        <v>5020301</v>
      </c>
      <c r="E86" s="5">
        <v>1</v>
      </c>
      <c r="F86" s="5">
        <v>6</v>
      </c>
      <c r="G86" s="5" t="s">
        <v>19</v>
      </c>
      <c r="H86" s="7" t="s">
        <v>20</v>
      </c>
      <c r="I86" s="7" t="s">
        <v>21</v>
      </c>
    </row>
    <row r="87" spans="1:9">
      <c r="A87" s="5" t="str">
        <f t="shared" si="2"/>
        <v>4_11</v>
      </c>
      <c r="B87" s="5">
        <v>4</v>
      </c>
      <c r="C87" s="5">
        <v>11</v>
      </c>
      <c r="D87" s="5">
        <v>5020601</v>
      </c>
      <c r="E87" s="5">
        <v>2</v>
      </c>
      <c r="F87" s="5">
        <v>5</v>
      </c>
      <c r="G87" s="5" t="s">
        <v>19</v>
      </c>
      <c r="H87" s="7" t="s">
        <v>20</v>
      </c>
      <c r="I87" s="7" t="s">
        <v>21</v>
      </c>
    </row>
    <row r="88" spans="1:9">
      <c r="A88" s="5" t="str">
        <f t="shared" si="2"/>
        <v>4_10</v>
      </c>
      <c r="B88" s="5">
        <v>4</v>
      </c>
      <c r="C88" s="5">
        <v>10</v>
      </c>
      <c r="D88" s="5">
        <v>5020201</v>
      </c>
      <c r="E88" s="5">
        <v>2</v>
      </c>
      <c r="F88" s="5">
        <v>5</v>
      </c>
      <c r="G88" s="5" t="s">
        <v>19</v>
      </c>
      <c r="H88" s="7" t="s">
        <v>20</v>
      </c>
      <c r="I88" s="7" t="s">
        <v>21</v>
      </c>
    </row>
    <row r="89" spans="1:9">
      <c r="A89" s="5" t="str">
        <f t="shared" si="2"/>
        <v>4_9</v>
      </c>
      <c r="B89" s="5">
        <v>4</v>
      </c>
      <c r="C89" s="5">
        <v>9</v>
      </c>
      <c r="D89" s="5">
        <v>5020401</v>
      </c>
      <c r="E89" s="5">
        <v>2</v>
      </c>
      <c r="F89" s="5">
        <v>5</v>
      </c>
      <c r="G89" s="5" t="s">
        <v>19</v>
      </c>
      <c r="H89" s="7" t="s">
        <v>20</v>
      </c>
      <c r="I89" s="7" t="s">
        <v>21</v>
      </c>
    </row>
    <row r="90" spans="1:9">
      <c r="A90" s="5" t="str">
        <f t="shared" si="2"/>
        <v>4_8</v>
      </c>
      <c r="B90" s="5">
        <v>4</v>
      </c>
      <c r="C90" s="5">
        <v>8</v>
      </c>
      <c r="D90" s="5">
        <v>5020201</v>
      </c>
      <c r="E90" s="5">
        <v>1</v>
      </c>
      <c r="F90" s="5">
        <v>5</v>
      </c>
      <c r="G90" s="5" t="s">
        <v>19</v>
      </c>
      <c r="H90" s="7" t="s">
        <v>20</v>
      </c>
      <c r="I90" s="7" t="s">
        <v>21</v>
      </c>
    </row>
    <row r="91" spans="1:9">
      <c r="A91" s="5" t="str">
        <f t="shared" si="2"/>
        <v>4_7</v>
      </c>
      <c r="B91" s="5">
        <v>4</v>
      </c>
      <c r="C91" s="5">
        <v>7</v>
      </c>
      <c r="D91" s="5">
        <v>5020301</v>
      </c>
      <c r="E91" s="5">
        <v>2</v>
      </c>
      <c r="F91" s="5">
        <v>4</v>
      </c>
      <c r="G91" s="5" t="s">
        <v>19</v>
      </c>
      <c r="H91" s="7" t="s">
        <v>20</v>
      </c>
      <c r="I91" s="7" t="s">
        <v>21</v>
      </c>
    </row>
    <row r="92" spans="1:9">
      <c r="A92" s="5" t="str">
        <f t="shared" si="2"/>
        <v>4_6</v>
      </c>
      <c r="B92" s="5">
        <v>4</v>
      </c>
      <c r="C92" s="5">
        <v>6</v>
      </c>
      <c r="D92" s="5">
        <v>5020101</v>
      </c>
      <c r="E92" s="5">
        <v>1</v>
      </c>
      <c r="F92" s="5">
        <v>4</v>
      </c>
      <c r="G92" s="5" t="s">
        <v>19</v>
      </c>
      <c r="H92" s="7" t="s">
        <v>20</v>
      </c>
      <c r="I92" s="7" t="s">
        <v>21</v>
      </c>
    </row>
    <row r="93" spans="1:9">
      <c r="A93" s="5" t="str">
        <f t="shared" si="2"/>
        <v>4_5</v>
      </c>
      <c r="B93" s="5">
        <v>4</v>
      </c>
      <c r="C93" s="5">
        <v>5</v>
      </c>
      <c r="D93" s="5">
        <v>5020201</v>
      </c>
      <c r="E93" s="5">
        <v>1</v>
      </c>
      <c r="F93" s="5">
        <v>3</v>
      </c>
      <c r="G93" s="5" t="s">
        <v>19</v>
      </c>
      <c r="H93" s="7" t="s">
        <v>20</v>
      </c>
      <c r="I93" s="7" t="s">
        <v>21</v>
      </c>
    </row>
    <row r="94" spans="1:9">
      <c r="A94" s="5" t="str">
        <f t="shared" si="2"/>
        <v>4_4</v>
      </c>
      <c r="B94" s="5">
        <v>4</v>
      </c>
      <c r="C94" s="5">
        <v>4</v>
      </c>
      <c r="D94" s="5">
        <v>5020101</v>
      </c>
      <c r="E94" s="5">
        <v>1</v>
      </c>
      <c r="F94" s="5">
        <v>0</v>
      </c>
      <c r="G94" s="5" t="s">
        <v>19</v>
      </c>
      <c r="H94" s="7" t="s">
        <v>20</v>
      </c>
      <c r="I94" s="7" t="s">
        <v>21</v>
      </c>
    </row>
    <row r="95" spans="1:9">
      <c r="A95" s="5" t="str">
        <f t="shared" si="2"/>
        <v>4_3</v>
      </c>
      <c r="B95" s="5">
        <v>4</v>
      </c>
      <c r="C95" s="5">
        <v>3</v>
      </c>
      <c r="D95" s="5"/>
      <c r="E95" s="5">
        <v>0</v>
      </c>
      <c r="F95" s="5">
        <v>0</v>
      </c>
      <c r="G95" s="5" t="s">
        <v>19</v>
      </c>
      <c r="H95" s="7" t="s">
        <v>20</v>
      </c>
      <c r="I95" s="7" t="s">
        <v>21</v>
      </c>
    </row>
    <row r="96" spans="1:9">
      <c r="A96" s="5" t="str">
        <f t="shared" si="2"/>
        <v>4_2</v>
      </c>
      <c r="B96" s="5">
        <v>4</v>
      </c>
      <c r="C96" s="5">
        <v>2</v>
      </c>
      <c r="D96" s="5">
        <v>5020101</v>
      </c>
      <c r="E96" s="5">
        <v>1</v>
      </c>
      <c r="F96" s="5">
        <v>0</v>
      </c>
      <c r="G96" s="5" t="s">
        <v>19</v>
      </c>
      <c r="H96" s="7" t="s">
        <v>20</v>
      </c>
      <c r="I96" s="7" t="s">
        <v>21</v>
      </c>
    </row>
    <row r="97" spans="1:9">
      <c r="A97" s="5" t="str">
        <f t="shared" si="2"/>
        <v>4_1</v>
      </c>
      <c r="B97" s="5">
        <v>4</v>
      </c>
      <c r="C97" s="5">
        <v>1</v>
      </c>
      <c r="D97" s="5">
        <v>5020301</v>
      </c>
      <c r="E97" s="5">
        <v>1</v>
      </c>
      <c r="F97" s="5">
        <v>2</v>
      </c>
      <c r="G97" s="5" t="s">
        <v>19</v>
      </c>
      <c r="H97" s="7" t="s">
        <v>20</v>
      </c>
      <c r="I97" s="7" t="s">
        <v>21</v>
      </c>
    </row>
    <row r="98" spans="1:9">
      <c r="A98" s="5" t="str">
        <f t="shared" si="2"/>
        <v>4_0</v>
      </c>
      <c r="B98" s="5">
        <v>4</v>
      </c>
      <c r="C98" s="5">
        <v>0</v>
      </c>
      <c r="D98" s="5">
        <v>5020101</v>
      </c>
      <c r="E98" s="5">
        <v>2</v>
      </c>
      <c r="F98" s="5">
        <v>2</v>
      </c>
      <c r="G98" s="5" t="s">
        <v>19</v>
      </c>
      <c r="H98" s="7" t="s">
        <v>20</v>
      </c>
      <c r="I98" s="7" t="s">
        <v>21</v>
      </c>
    </row>
    <row r="99" spans="1:9">
      <c r="A99" s="5" t="str">
        <f t="shared" si="2"/>
        <v>5_18</v>
      </c>
      <c r="B99" s="5">
        <v>5</v>
      </c>
      <c r="C99" s="5">
        <v>18</v>
      </c>
      <c r="D99" s="5">
        <v>6030101</v>
      </c>
      <c r="E99" s="5">
        <v>1</v>
      </c>
      <c r="F99" s="5">
        <v>8</v>
      </c>
      <c r="G99" s="5" t="s">
        <v>19</v>
      </c>
      <c r="H99" s="7" t="s">
        <v>20</v>
      </c>
      <c r="I99" s="7" t="s">
        <v>21</v>
      </c>
    </row>
    <row r="100" spans="1:9">
      <c r="A100" s="5" t="str">
        <f t="shared" si="2"/>
        <v>5_17</v>
      </c>
      <c r="B100" s="5">
        <v>5</v>
      </c>
      <c r="C100" s="5">
        <v>17</v>
      </c>
      <c r="D100" s="5">
        <v>5020901</v>
      </c>
      <c r="E100" s="5">
        <v>2</v>
      </c>
      <c r="F100" s="5">
        <v>7</v>
      </c>
      <c r="G100" s="5" t="s">
        <v>19</v>
      </c>
      <c r="H100" s="7" t="s">
        <v>20</v>
      </c>
      <c r="I100" s="7" t="s">
        <v>21</v>
      </c>
    </row>
    <row r="101" spans="1:9">
      <c r="A101" s="5" t="str">
        <f t="shared" ref="A101:A136" si="3">B101&amp;"_"&amp;C101</f>
        <v>5_16</v>
      </c>
      <c r="B101" s="5">
        <v>5</v>
      </c>
      <c r="C101" s="5">
        <v>16</v>
      </c>
      <c r="D101" s="5">
        <v>6030401</v>
      </c>
      <c r="E101" s="5">
        <v>2</v>
      </c>
      <c r="F101" s="5">
        <v>7</v>
      </c>
      <c r="G101" s="5" t="s">
        <v>19</v>
      </c>
      <c r="H101" s="7" t="s">
        <v>20</v>
      </c>
      <c r="I101" s="7" t="s">
        <v>21</v>
      </c>
    </row>
    <row r="102" spans="1:9">
      <c r="A102" s="5" t="str">
        <f t="shared" si="3"/>
        <v>5_15</v>
      </c>
      <c r="B102" s="5">
        <v>5</v>
      </c>
      <c r="C102" s="5">
        <v>15</v>
      </c>
      <c r="D102" s="5">
        <v>5020701</v>
      </c>
      <c r="E102" s="5">
        <v>2</v>
      </c>
      <c r="F102" s="5">
        <v>7</v>
      </c>
      <c r="G102" s="5" t="s">
        <v>19</v>
      </c>
      <c r="H102" s="7" t="s">
        <v>20</v>
      </c>
      <c r="I102" s="7" t="s">
        <v>21</v>
      </c>
    </row>
    <row r="103" spans="1:9">
      <c r="A103" s="5" t="str">
        <f t="shared" si="3"/>
        <v>5_14</v>
      </c>
      <c r="B103" s="5">
        <v>5</v>
      </c>
      <c r="C103" s="5">
        <v>14</v>
      </c>
      <c r="D103" s="5">
        <v>6030301</v>
      </c>
      <c r="E103" s="5">
        <v>2</v>
      </c>
      <c r="F103" s="5">
        <v>6</v>
      </c>
      <c r="G103" s="5" t="s">
        <v>19</v>
      </c>
      <c r="H103" s="7" t="s">
        <v>20</v>
      </c>
      <c r="I103" s="7" t="s">
        <v>21</v>
      </c>
    </row>
    <row r="104" spans="1:9">
      <c r="A104" s="5" t="str">
        <f t="shared" si="3"/>
        <v>5_13</v>
      </c>
      <c r="B104" s="5">
        <v>5</v>
      </c>
      <c r="C104" s="5">
        <v>13</v>
      </c>
      <c r="D104" s="5">
        <v>5020701</v>
      </c>
      <c r="E104" s="5">
        <v>2</v>
      </c>
      <c r="F104" s="5">
        <v>6</v>
      </c>
      <c r="G104" s="5" t="s">
        <v>19</v>
      </c>
      <c r="H104" s="7" t="s">
        <v>20</v>
      </c>
      <c r="I104" s="7" t="s">
        <v>21</v>
      </c>
    </row>
    <row r="105" spans="1:9">
      <c r="A105" s="5" t="str">
        <f t="shared" si="3"/>
        <v>5_12</v>
      </c>
      <c r="B105" s="5">
        <v>5</v>
      </c>
      <c r="C105" s="5">
        <v>12</v>
      </c>
      <c r="D105" s="5">
        <v>5020301</v>
      </c>
      <c r="E105" s="5">
        <v>1</v>
      </c>
      <c r="F105" s="5">
        <v>6</v>
      </c>
      <c r="G105" s="5" t="s">
        <v>19</v>
      </c>
      <c r="H105" s="7" t="s">
        <v>20</v>
      </c>
      <c r="I105" s="7" t="s">
        <v>21</v>
      </c>
    </row>
    <row r="106" spans="1:9">
      <c r="A106" s="5" t="str">
        <f t="shared" si="3"/>
        <v>5_11</v>
      </c>
      <c r="B106" s="5">
        <v>5</v>
      </c>
      <c r="C106" s="5">
        <v>11</v>
      </c>
      <c r="D106" s="5">
        <v>5020601</v>
      </c>
      <c r="E106" s="5">
        <v>2</v>
      </c>
      <c r="F106" s="5">
        <v>5</v>
      </c>
      <c r="G106" s="5" t="s">
        <v>19</v>
      </c>
      <c r="H106" s="7" t="s">
        <v>20</v>
      </c>
      <c r="I106" s="7" t="s">
        <v>21</v>
      </c>
    </row>
    <row r="107" spans="1:9">
      <c r="A107" s="5" t="str">
        <f t="shared" si="3"/>
        <v>5_10</v>
      </c>
      <c r="B107" s="5">
        <v>5</v>
      </c>
      <c r="C107" s="5">
        <v>10</v>
      </c>
      <c r="D107" s="5">
        <v>5020401</v>
      </c>
      <c r="E107" s="5">
        <v>2</v>
      </c>
      <c r="F107" s="5">
        <v>5</v>
      </c>
      <c r="G107" s="5" t="s">
        <v>19</v>
      </c>
      <c r="H107" s="7" t="s">
        <v>20</v>
      </c>
      <c r="I107" s="7" t="s">
        <v>21</v>
      </c>
    </row>
    <row r="108" spans="1:9">
      <c r="A108" s="5" t="str">
        <f t="shared" si="3"/>
        <v>5_9</v>
      </c>
      <c r="B108" s="5">
        <v>5</v>
      </c>
      <c r="C108" s="5">
        <v>9</v>
      </c>
      <c r="D108" s="5">
        <v>5020201</v>
      </c>
      <c r="E108" s="5">
        <v>1</v>
      </c>
      <c r="F108" s="5">
        <v>5</v>
      </c>
      <c r="G108" s="5" t="s">
        <v>19</v>
      </c>
      <c r="H108" s="7" t="s">
        <v>20</v>
      </c>
      <c r="I108" s="7" t="s">
        <v>21</v>
      </c>
    </row>
    <row r="109" spans="1:9">
      <c r="A109" s="5" t="str">
        <f t="shared" si="3"/>
        <v>5_8</v>
      </c>
      <c r="B109" s="5">
        <v>5</v>
      </c>
      <c r="C109" s="5">
        <v>8</v>
      </c>
      <c r="D109" s="5">
        <v>5030301</v>
      </c>
      <c r="E109" s="5">
        <v>2</v>
      </c>
      <c r="F109" s="5">
        <v>4</v>
      </c>
      <c r="G109" s="5" t="s">
        <v>19</v>
      </c>
      <c r="H109" s="7" t="s">
        <v>20</v>
      </c>
      <c r="I109" s="7" t="s">
        <v>21</v>
      </c>
    </row>
    <row r="110" spans="1:9">
      <c r="A110" s="5" t="str">
        <f t="shared" si="3"/>
        <v>5_7</v>
      </c>
      <c r="B110" s="5">
        <v>5</v>
      </c>
      <c r="C110" s="5">
        <v>7</v>
      </c>
      <c r="D110" s="5">
        <v>5020501</v>
      </c>
      <c r="E110" s="5">
        <v>2</v>
      </c>
      <c r="F110" s="5">
        <v>4</v>
      </c>
      <c r="G110" s="5" t="s">
        <v>19</v>
      </c>
      <c r="H110" s="7" t="s">
        <v>20</v>
      </c>
      <c r="I110" s="7" t="s">
        <v>21</v>
      </c>
    </row>
    <row r="111" spans="1:9">
      <c r="A111" s="5" t="str">
        <f t="shared" si="3"/>
        <v>5_6</v>
      </c>
      <c r="B111" s="5">
        <v>5</v>
      </c>
      <c r="C111" s="5">
        <v>6</v>
      </c>
      <c r="D111" s="5">
        <v>5020501</v>
      </c>
      <c r="E111" s="5">
        <v>2</v>
      </c>
      <c r="F111" s="5">
        <v>3</v>
      </c>
      <c r="G111" s="5" t="s">
        <v>19</v>
      </c>
      <c r="H111" s="7" t="s">
        <v>20</v>
      </c>
      <c r="I111" s="7" t="s">
        <v>21</v>
      </c>
    </row>
    <row r="112" spans="1:9">
      <c r="A112" s="5" t="str">
        <f t="shared" si="3"/>
        <v>5_5</v>
      </c>
      <c r="B112" s="5">
        <v>5</v>
      </c>
      <c r="C112" s="5">
        <v>5</v>
      </c>
      <c r="D112" s="5">
        <v>5020201</v>
      </c>
      <c r="E112" s="5">
        <v>1</v>
      </c>
      <c r="F112" s="5">
        <v>3</v>
      </c>
      <c r="G112" s="5" t="s">
        <v>19</v>
      </c>
      <c r="H112" s="7" t="s">
        <v>20</v>
      </c>
      <c r="I112" s="7" t="s">
        <v>21</v>
      </c>
    </row>
    <row r="113" spans="1:9">
      <c r="A113" s="5" t="str">
        <f t="shared" si="3"/>
        <v>5_4</v>
      </c>
      <c r="B113" s="5">
        <v>5</v>
      </c>
      <c r="C113" s="5">
        <v>4</v>
      </c>
      <c r="D113" s="5">
        <v>5020101</v>
      </c>
      <c r="E113" s="5">
        <v>1</v>
      </c>
      <c r="F113" s="5">
        <v>2</v>
      </c>
      <c r="G113" s="5" t="s">
        <v>19</v>
      </c>
      <c r="H113" s="7" t="s">
        <v>20</v>
      </c>
      <c r="I113" s="7" t="s">
        <v>21</v>
      </c>
    </row>
    <row r="114" spans="1:9">
      <c r="A114" s="5" t="str">
        <f t="shared" si="3"/>
        <v>5_3</v>
      </c>
      <c r="B114" s="5">
        <v>5</v>
      </c>
      <c r="C114" s="5">
        <v>3</v>
      </c>
      <c r="D114" s="5">
        <v>5020301</v>
      </c>
      <c r="E114" s="5">
        <v>2</v>
      </c>
      <c r="F114" s="5">
        <v>2</v>
      </c>
      <c r="G114" s="5" t="s">
        <v>19</v>
      </c>
      <c r="H114" s="7" t="s">
        <v>20</v>
      </c>
      <c r="I114" s="7" t="s">
        <v>21</v>
      </c>
    </row>
    <row r="115" spans="1:9">
      <c r="A115" s="5" t="str">
        <f t="shared" si="3"/>
        <v>5_2</v>
      </c>
      <c r="B115" s="5">
        <v>5</v>
      </c>
      <c r="C115" s="5">
        <v>2</v>
      </c>
      <c r="D115" s="5">
        <v>5020101</v>
      </c>
      <c r="E115" s="5">
        <v>1</v>
      </c>
      <c r="F115" s="5">
        <v>2</v>
      </c>
      <c r="G115" s="5" t="s">
        <v>19</v>
      </c>
      <c r="H115" s="7" t="s">
        <v>20</v>
      </c>
      <c r="I115" s="7" t="s">
        <v>21</v>
      </c>
    </row>
    <row r="116" spans="1:9">
      <c r="A116" s="5" t="str">
        <f t="shared" si="3"/>
        <v>5_1</v>
      </c>
      <c r="B116" s="5">
        <v>5</v>
      </c>
      <c r="C116" s="5">
        <v>1</v>
      </c>
      <c r="D116" s="5">
        <v>5020301</v>
      </c>
      <c r="E116" s="5">
        <v>2</v>
      </c>
      <c r="F116" s="5">
        <v>2</v>
      </c>
      <c r="G116" s="5" t="s">
        <v>19</v>
      </c>
      <c r="H116" s="7" t="s">
        <v>20</v>
      </c>
      <c r="I116" s="7" t="s">
        <v>21</v>
      </c>
    </row>
    <row r="117" spans="1:9">
      <c r="A117" s="5" t="str">
        <f t="shared" si="3"/>
        <v>5_0</v>
      </c>
      <c r="B117" s="5">
        <v>5</v>
      </c>
      <c r="C117" s="5">
        <v>0</v>
      </c>
      <c r="D117" s="5">
        <v>5020301</v>
      </c>
      <c r="E117" s="5">
        <v>2</v>
      </c>
      <c r="F117" s="5">
        <v>2</v>
      </c>
      <c r="G117" s="5" t="s">
        <v>19</v>
      </c>
      <c r="H117" s="7" t="s">
        <v>20</v>
      </c>
      <c r="I117" s="7" t="s">
        <v>21</v>
      </c>
    </row>
    <row r="118" spans="1:9">
      <c r="A118" s="5" t="str">
        <f t="shared" si="3"/>
        <v>6_18</v>
      </c>
      <c r="B118" s="5">
        <v>6</v>
      </c>
      <c r="C118" s="5">
        <v>18</v>
      </c>
      <c r="D118" s="5">
        <v>6030501</v>
      </c>
      <c r="E118" s="5">
        <v>1</v>
      </c>
      <c r="F118" s="5">
        <v>8</v>
      </c>
      <c r="G118" s="5" t="s">
        <v>19</v>
      </c>
      <c r="H118" s="7" t="s">
        <v>20</v>
      </c>
      <c r="I118" s="7" t="s">
        <v>21</v>
      </c>
    </row>
    <row r="119" spans="1:9">
      <c r="A119" s="5" t="str">
        <f t="shared" si="3"/>
        <v>6_17</v>
      </c>
      <c r="B119" s="5">
        <v>6</v>
      </c>
      <c r="C119" s="5">
        <v>17</v>
      </c>
      <c r="D119" s="5">
        <v>5020901</v>
      </c>
      <c r="E119" s="5">
        <v>2</v>
      </c>
      <c r="F119" s="5">
        <v>7</v>
      </c>
      <c r="G119" s="5" t="s">
        <v>19</v>
      </c>
      <c r="H119" s="7" t="s">
        <v>20</v>
      </c>
      <c r="I119" s="7" t="s">
        <v>21</v>
      </c>
    </row>
    <row r="120" spans="1:9">
      <c r="A120" s="5" t="str">
        <f t="shared" si="3"/>
        <v>6_16</v>
      </c>
      <c r="B120" s="5">
        <v>6</v>
      </c>
      <c r="C120" s="5">
        <v>16</v>
      </c>
      <c r="D120" s="5">
        <v>5020701</v>
      </c>
      <c r="E120" s="5">
        <v>2</v>
      </c>
      <c r="F120" s="5">
        <v>7</v>
      </c>
      <c r="G120" s="5" t="s">
        <v>19</v>
      </c>
      <c r="H120" s="7" t="s">
        <v>20</v>
      </c>
      <c r="I120" s="7" t="s">
        <v>21</v>
      </c>
    </row>
    <row r="121" spans="1:9">
      <c r="A121" s="5" t="str">
        <f t="shared" si="3"/>
        <v>6_15</v>
      </c>
      <c r="B121" s="5">
        <v>6</v>
      </c>
      <c r="C121" s="5">
        <v>15</v>
      </c>
      <c r="D121" s="5">
        <v>5020501</v>
      </c>
      <c r="E121" s="5">
        <v>1</v>
      </c>
      <c r="F121" s="5">
        <v>7</v>
      </c>
      <c r="G121" s="5" t="s">
        <v>19</v>
      </c>
      <c r="H121" s="7" t="s">
        <v>20</v>
      </c>
      <c r="I121" s="7" t="s">
        <v>21</v>
      </c>
    </row>
    <row r="122" spans="1:9">
      <c r="A122" s="5" t="str">
        <f t="shared" si="3"/>
        <v>6_14</v>
      </c>
      <c r="B122" s="5">
        <v>6</v>
      </c>
      <c r="C122" s="5">
        <v>14</v>
      </c>
      <c r="D122" s="5">
        <v>5020901</v>
      </c>
      <c r="E122" s="5">
        <v>2</v>
      </c>
      <c r="F122" s="5">
        <v>6</v>
      </c>
      <c r="G122" s="5" t="s">
        <v>19</v>
      </c>
      <c r="H122" s="7" t="s">
        <v>20</v>
      </c>
      <c r="I122" s="7" t="s">
        <v>21</v>
      </c>
    </row>
    <row r="123" spans="1:9">
      <c r="A123" s="5" t="str">
        <f t="shared" si="3"/>
        <v>6_13</v>
      </c>
      <c r="B123" s="5">
        <v>6</v>
      </c>
      <c r="C123" s="5">
        <v>13</v>
      </c>
      <c r="D123" s="5">
        <v>5020501</v>
      </c>
      <c r="E123" s="5">
        <v>2</v>
      </c>
      <c r="F123" s="5">
        <v>6</v>
      </c>
      <c r="G123" s="5" t="s">
        <v>19</v>
      </c>
      <c r="H123" s="7" t="s">
        <v>20</v>
      </c>
      <c r="I123" s="7" t="s">
        <v>21</v>
      </c>
    </row>
    <row r="124" spans="1:9">
      <c r="A124" s="5" t="str">
        <f t="shared" si="3"/>
        <v>6_12</v>
      </c>
      <c r="B124" s="5">
        <v>6</v>
      </c>
      <c r="C124" s="5">
        <v>12</v>
      </c>
      <c r="D124" s="5">
        <v>5030201</v>
      </c>
      <c r="E124" s="5">
        <v>1</v>
      </c>
      <c r="F124" s="5">
        <v>6</v>
      </c>
      <c r="G124" s="5" t="s">
        <v>19</v>
      </c>
      <c r="H124" s="7" t="s">
        <v>20</v>
      </c>
      <c r="I124" s="7" t="s">
        <v>21</v>
      </c>
    </row>
    <row r="125" spans="1:9">
      <c r="A125" s="5" t="str">
        <f t="shared" si="3"/>
        <v>6_11</v>
      </c>
      <c r="B125" s="5">
        <v>6</v>
      </c>
      <c r="C125" s="5">
        <v>11</v>
      </c>
      <c r="D125" s="5">
        <v>5020801</v>
      </c>
      <c r="E125" s="5">
        <v>2</v>
      </c>
      <c r="F125" s="5">
        <v>5</v>
      </c>
      <c r="G125" s="5" t="s">
        <v>19</v>
      </c>
      <c r="H125" s="7" t="s">
        <v>20</v>
      </c>
      <c r="I125" s="7" t="s">
        <v>21</v>
      </c>
    </row>
    <row r="126" spans="1:9">
      <c r="A126" s="5" t="str">
        <f t="shared" si="3"/>
        <v>6_10</v>
      </c>
      <c r="B126" s="5">
        <v>6</v>
      </c>
      <c r="C126" s="5">
        <v>10</v>
      </c>
      <c r="D126" s="5">
        <v>5020601</v>
      </c>
      <c r="E126" s="5">
        <v>2</v>
      </c>
      <c r="F126" s="5">
        <v>5</v>
      </c>
      <c r="G126" s="5" t="s">
        <v>19</v>
      </c>
      <c r="H126" s="7" t="s">
        <v>20</v>
      </c>
      <c r="I126" s="7" t="s">
        <v>21</v>
      </c>
    </row>
    <row r="127" spans="1:9">
      <c r="A127" s="5" t="str">
        <f t="shared" si="3"/>
        <v>6_9</v>
      </c>
      <c r="B127" s="5">
        <v>6</v>
      </c>
      <c r="C127" s="5">
        <v>9</v>
      </c>
      <c r="D127" s="5">
        <v>5020401</v>
      </c>
      <c r="E127" s="5">
        <v>2</v>
      </c>
      <c r="F127" s="5">
        <v>5</v>
      </c>
      <c r="G127" s="5" t="s">
        <v>19</v>
      </c>
      <c r="H127" s="7" t="s">
        <v>20</v>
      </c>
      <c r="I127" s="7" t="s">
        <v>21</v>
      </c>
    </row>
    <row r="128" spans="1:9">
      <c r="A128" s="5" t="str">
        <f t="shared" si="3"/>
        <v>6_8</v>
      </c>
      <c r="B128" s="5">
        <v>6</v>
      </c>
      <c r="C128" s="5">
        <v>8</v>
      </c>
      <c r="D128" s="5">
        <v>5020701</v>
      </c>
      <c r="E128" s="5">
        <v>2</v>
      </c>
      <c r="F128" s="5">
        <v>4</v>
      </c>
      <c r="G128" s="5" t="s">
        <v>19</v>
      </c>
      <c r="H128" s="7" t="s">
        <v>20</v>
      </c>
      <c r="I128" s="7" t="s">
        <v>21</v>
      </c>
    </row>
    <row r="129" spans="1:9">
      <c r="A129" s="5" t="str">
        <f t="shared" si="3"/>
        <v>6_7</v>
      </c>
      <c r="B129" s="5">
        <v>6</v>
      </c>
      <c r="C129" s="5">
        <v>7</v>
      </c>
      <c r="D129" s="5">
        <v>5020301</v>
      </c>
      <c r="E129" s="5">
        <v>2</v>
      </c>
      <c r="F129" s="5">
        <v>4</v>
      </c>
      <c r="G129" s="5" t="s">
        <v>19</v>
      </c>
      <c r="H129" s="7" t="s">
        <v>20</v>
      </c>
      <c r="I129" s="7" t="s">
        <v>21</v>
      </c>
    </row>
    <row r="130" spans="1:9">
      <c r="A130" s="5" t="str">
        <f t="shared" si="3"/>
        <v>6_6</v>
      </c>
      <c r="B130" s="5">
        <v>6</v>
      </c>
      <c r="C130" s="5">
        <v>6</v>
      </c>
      <c r="D130" s="5">
        <v>5020401</v>
      </c>
      <c r="E130" s="5">
        <v>2</v>
      </c>
      <c r="F130" s="5">
        <v>3</v>
      </c>
      <c r="G130" s="5" t="s">
        <v>19</v>
      </c>
      <c r="H130" s="7" t="s">
        <v>20</v>
      </c>
      <c r="I130" s="7" t="s">
        <v>21</v>
      </c>
    </row>
    <row r="131" spans="1:9">
      <c r="A131" s="5" t="str">
        <f t="shared" si="3"/>
        <v>6_5</v>
      </c>
      <c r="B131" s="5">
        <v>6</v>
      </c>
      <c r="C131" s="5">
        <v>5</v>
      </c>
      <c r="D131" s="5">
        <v>5020101</v>
      </c>
      <c r="E131" s="5">
        <v>2</v>
      </c>
      <c r="F131" s="5">
        <v>3</v>
      </c>
      <c r="G131" s="5" t="s">
        <v>19</v>
      </c>
      <c r="H131" s="7" t="s">
        <v>20</v>
      </c>
      <c r="I131" s="7" t="s">
        <v>21</v>
      </c>
    </row>
    <row r="132" spans="1:9">
      <c r="A132" s="5" t="str">
        <f t="shared" si="3"/>
        <v>6_4</v>
      </c>
      <c r="B132" s="5">
        <v>6</v>
      </c>
      <c r="C132" s="5">
        <v>4</v>
      </c>
      <c r="D132" s="5">
        <v>5020101</v>
      </c>
      <c r="E132" s="5">
        <v>2</v>
      </c>
      <c r="F132" s="5">
        <v>2</v>
      </c>
      <c r="G132" s="5" t="s">
        <v>19</v>
      </c>
      <c r="H132" s="7" t="s">
        <v>20</v>
      </c>
      <c r="I132" s="7" t="s">
        <v>21</v>
      </c>
    </row>
    <row r="133" spans="1:9">
      <c r="A133" s="5" t="str">
        <f t="shared" si="3"/>
        <v>6_3</v>
      </c>
      <c r="B133" s="5">
        <v>6</v>
      </c>
      <c r="C133" s="5">
        <v>3</v>
      </c>
      <c r="D133" s="5">
        <v>5020501</v>
      </c>
      <c r="E133" s="5">
        <v>2</v>
      </c>
      <c r="F133" s="5">
        <v>2</v>
      </c>
      <c r="G133" s="5" t="s">
        <v>19</v>
      </c>
      <c r="H133" s="7" t="s">
        <v>20</v>
      </c>
      <c r="I133" s="7" t="s">
        <v>21</v>
      </c>
    </row>
    <row r="134" spans="1:9">
      <c r="A134" s="5" t="str">
        <f t="shared" si="3"/>
        <v>6_2</v>
      </c>
      <c r="B134" s="5">
        <v>6</v>
      </c>
      <c r="C134" s="5">
        <v>2</v>
      </c>
      <c r="D134" s="5">
        <v>5020301</v>
      </c>
      <c r="E134" s="5">
        <v>2</v>
      </c>
      <c r="F134" s="5">
        <v>2</v>
      </c>
      <c r="G134" s="5" t="s">
        <v>19</v>
      </c>
      <c r="H134" s="7" t="s">
        <v>20</v>
      </c>
      <c r="I134" s="7" t="s">
        <v>21</v>
      </c>
    </row>
    <row r="135" spans="1:9">
      <c r="A135" s="5" t="str">
        <f t="shared" si="3"/>
        <v>6_1</v>
      </c>
      <c r="B135" s="5">
        <v>6</v>
      </c>
      <c r="C135" s="5">
        <v>1</v>
      </c>
      <c r="D135" s="5">
        <v>5020301</v>
      </c>
      <c r="E135" s="5">
        <v>2</v>
      </c>
      <c r="F135" s="5">
        <v>2</v>
      </c>
      <c r="G135" s="5" t="s">
        <v>19</v>
      </c>
      <c r="H135" s="7" t="s">
        <v>20</v>
      </c>
      <c r="I135" s="7" t="s">
        <v>21</v>
      </c>
    </row>
    <row r="136" spans="1:9">
      <c r="A136" s="5" t="str">
        <f t="shared" si="3"/>
        <v>6_0</v>
      </c>
      <c r="B136" s="5">
        <v>6</v>
      </c>
      <c r="C136" s="5">
        <v>0</v>
      </c>
      <c r="D136" s="5">
        <v>5020501</v>
      </c>
      <c r="E136" s="5">
        <v>2</v>
      </c>
      <c r="F136" s="5">
        <v>2</v>
      </c>
      <c r="G136" s="5" t="s">
        <v>19</v>
      </c>
      <c r="H136" s="7" t="s">
        <v>20</v>
      </c>
      <c r="I136" s="7" t="s">
        <v>21</v>
      </c>
    </row>
  </sheetData>
  <autoFilter xmlns:etc="http://www.wps.cn/officeDocument/2017/etCustomData" ref="B3:H136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95"/>
  <sheetViews>
    <sheetView zoomScale="115" zoomScaleNormal="115" workbookViewId="0">
      <pane xSplit="6" ySplit="2" topLeftCell="AB12" activePane="bottomRight" state="frozenSplit"/>
      <selection/>
      <selection pane="topRight"/>
      <selection pane="bottomLeft"/>
      <selection pane="bottomRight" activeCell="AB34" sqref="AB34"/>
    </sheetView>
  </sheetViews>
  <sheetFormatPr defaultColWidth="9" defaultRowHeight="13.5"/>
  <cols>
    <col min="1" max="1" width="13.225" customWidth="1"/>
    <col min="2" max="2" width="19.8833333333333" customWidth="1"/>
    <col min="3" max="3" width="29.125" customWidth="1"/>
    <col min="4" max="4" width="36.625" customWidth="1"/>
    <col min="5" max="5" width="16" customWidth="1"/>
    <col min="6" max="6" width="20.2166666666667" customWidth="1"/>
    <col min="7" max="7" width="22.8916666666667" customWidth="1"/>
    <col min="8" max="8" width="19.225" customWidth="1"/>
    <col min="9" max="9" width="18.225" customWidth="1"/>
    <col min="10" max="10" width="24.4416666666667" customWidth="1"/>
    <col min="11" max="11" width="20.6666666666667" customWidth="1"/>
    <col min="12" max="12" width="16.1083333333333" customWidth="1"/>
    <col min="13" max="13" width="16.775" customWidth="1"/>
    <col min="14" max="14" width="20.1083333333333" customWidth="1"/>
    <col min="15" max="15" width="21.6666666666667" customWidth="1"/>
    <col min="16" max="16" width="19" customWidth="1"/>
    <col min="17" max="18" width="33.1083333333333" customWidth="1"/>
    <col min="19" max="25" width="17.4416666666667" customWidth="1"/>
    <col min="26" max="26" width="18.775" customWidth="1"/>
    <col min="27" max="27" width="18.0416666666667" customWidth="1"/>
    <col min="28" max="28" width="86.5083333333333" customWidth="1"/>
    <col min="29" max="29" width="33.5833333333333" customWidth="1"/>
    <col min="30" max="30" width="34.3416666666667" customWidth="1"/>
    <col min="31" max="31" width="9.25"/>
  </cols>
  <sheetData>
    <row r="1" s="14" customFormat="1" ht="40.5" spans="1:38">
      <c r="A1" s="17"/>
      <c r="B1" s="18"/>
      <c r="C1" s="19"/>
      <c r="D1" s="18"/>
      <c r="E1" s="17"/>
      <c r="F1" s="20" t="s">
        <v>22</v>
      </c>
      <c r="G1" s="21"/>
      <c r="H1" s="21"/>
      <c r="I1" s="17"/>
      <c r="J1" s="21"/>
      <c r="K1" s="17"/>
      <c r="L1" s="22"/>
      <c r="M1" s="22"/>
      <c r="N1" s="17" t="s">
        <v>23</v>
      </c>
      <c r="O1" s="17"/>
      <c r="P1" s="17"/>
      <c r="Q1" s="23" t="s">
        <v>24</v>
      </c>
      <c r="R1" s="17"/>
      <c r="S1" s="17"/>
      <c r="T1" s="17"/>
      <c r="U1" s="17"/>
      <c r="V1" s="17"/>
      <c r="W1" s="17"/>
      <c r="X1" s="17"/>
      <c r="Y1" s="24"/>
      <c r="Z1" s="24"/>
      <c r="AA1" s="24"/>
      <c r="AB1" s="24"/>
      <c r="AC1" s="25"/>
      <c r="AD1" s="25"/>
      <c r="AE1" s="25"/>
      <c r="AF1" s="17"/>
      <c r="AG1" s="26"/>
      <c r="AH1" s="17"/>
      <c r="AI1" s="17"/>
      <c r="AJ1" s="17"/>
      <c r="AK1" s="17"/>
      <c r="AL1" s="17"/>
    </row>
    <row r="2" spans="1:38">
      <c r="A2" s="2" t="s">
        <v>25</v>
      </c>
      <c r="B2" s="27" t="s">
        <v>26</v>
      </c>
      <c r="C2" s="2" t="s">
        <v>27</v>
      </c>
      <c r="D2" s="27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40</v>
      </c>
      <c r="Q2" s="2" t="s">
        <v>41</v>
      </c>
      <c r="R2" s="2" t="s">
        <v>42</v>
      </c>
      <c r="S2" s="2" t="s">
        <v>43</v>
      </c>
      <c r="T2" s="2" t="s">
        <v>44</v>
      </c>
      <c r="U2" s="2" t="s">
        <v>45</v>
      </c>
      <c r="V2" s="2" t="s">
        <v>46</v>
      </c>
      <c r="W2" s="2" t="s">
        <v>47</v>
      </c>
      <c r="X2" s="2" t="s">
        <v>48</v>
      </c>
      <c r="Y2" s="2" t="s">
        <v>49</v>
      </c>
      <c r="Z2" s="2" t="s">
        <v>50</v>
      </c>
      <c r="AA2" s="2" t="s">
        <v>51</v>
      </c>
      <c r="AB2" s="2" t="s">
        <v>52</v>
      </c>
      <c r="AC2" s="28" t="s">
        <v>53</v>
      </c>
      <c r="AD2" s="28" t="s">
        <v>54</v>
      </c>
      <c r="AE2" s="28" t="s">
        <v>55</v>
      </c>
      <c r="AF2" s="28" t="s">
        <v>56</v>
      </c>
      <c r="AG2" s="28" t="s">
        <v>57</v>
      </c>
      <c r="AH2" s="28" t="s">
        <v>58</v>
      </c>
      <c r="AI2" s="28" t="s">
        <v>59</v>
      </c>
      <c r="AJ2" s="28" t="s">
        <v>60</v>
      </c>
      <c r="AK2" s="28" t="s">
        <v>61</v>
      </c>
      <c r="AL2" s="28" t="s">
        <v>62</v>
      </c>
    </row>
    <row r="3" spans="1:38">
      <c r="A3" s="2" t="s">
        <v>63</v>
      </c>
      <c r="B3" s="27" t="s">
        <v>64</v>
      </c>
      <c r="C3" s="2" t="s">
        <v>65</v>
      </c>
      <c r="D3" s="27" t="s">
        <v>66</v>
      </c>
      <c r="E3" s="2" t="s">
        <v>67</v>
      </c>
      <c r="F3" s="2" t="s">
        <v>68</v>
      </c>
      <c r="G3" s="2" t="s">
        <v>69</v>
      </c>
      <c r="H3" s="2" t="s">
        <v>70</v>
      </c>
      <c r="I3" s="2" t="s">
        <v>71</v>
      </c>
      <c r="J3" s="2" t="s">
        <v>72</v>
      </c>
      <c r="K3" s="2" t="s">
        <v>73</v>
      </c>
      <c r="L3" s="2" t="s">
        <v>74</v>
      </c>
      <c r="M3" s="2" t="s">
        <v>75</v>
      </c>
      <c r="N3" s="2" t="s">
        <v>76</v>
      </c>
      <c r="O3" s="2" t="s">
        <v>77</v>
      </c>
      <c r="P3" s="2" t="s">
        <v>78</v>
      </c>
      <c r="Q3" s="2" t="s">
        <v>79</v>
      </c>
      <c r="R3" s="2" t="s">
        <v>80</v>
      </c>
      <c r="S3" s="2" t="s">
        <v>81</v>
      </c>
      <c r="T3" s="2" t="s">
        <v>82</v>
      </c>
      <c r="U3" s="2" t="s">
        <v>83</v>
      </c>
      <c r="V3" s="2" t="s">
        <v>84</v>
      </c>
      <c r="W3" s="2" t="s">
        <v>85</v>
      </c>
      <c r="X3" s="2" t="s">
        <v>86</v>
      </c>
      <c r="Y3" s="29" t="s">
        <v>87</v>
      </c>
      <c r="Z3" s="2" t="s">
        <v>88</v>
      </c>
      <c r="AA3" s="2" t="s">
        <v>89</v>
      </c>
      <c r="AB3" s="2" t="s">
        <v>90</v>
      </c>
      <c r="AC3" s="30" t="s">
        <v>91</v>
      </c>
      <c r="AD3" s="30" t="s">
        <v>92</v>
      </c>
      <c r="AE3" s="30" t="s">
        <v>93</v>
      </c>
      <c r="AF3" s="28" t="s">
        <v>94</v>
      </c>
      <c r="AG3" s="28" t="s">
        <v>95</v>
      </c>
      <c r="AH3" s="28" t="s">
        <v>96</v>
      </c>
      <c r="AI3" s="28" t="s">
        <v>97</v>
      </c>
      <c r="AJ3" s="28" t="s">
        <v>98</v>
      </c>
      <c r="AK3" s="28" t="s">
        <v>99</v>
      </c>
      <c r="AL3" s="28" t="s">
        <v>100</v>
      </c>
    </row>
    <row r="4" s="15" customFormat="1" spans="1:38">
      <c r="A4" s="5">
        <v>40100</v>
      </c>
      <c r="B4" s="31" t="s">
        <v>101</v>
      </c>
      <c r="C4" s="32" t="s">
        <v>102</v>
      </c>
      <c r="D4" s="33" t="str">
        <f t="shared" ref="D4:D10" si="0">"Game|UnitIcon/"&amp;C4</f>
        <v>Game|UnitIcon/item_mysterybox01</v>
      </c>
      <c r="E4" s="5">
        <v>9</v>
      </c>
      <c r="F4" s="34"/>
      <c r="G4" s="34">
        <v>0</v>
      </c>
      <c r="H4" s="34"/>
      <c r="I4" s="34" t="s">
        <v>103</v>
      </c>
      <c r="J4" s="34">
        <v>0</v>
      </c>
      <c r="K4" s="5">
        <v>0</v>
      </c>
      <c r="L4" s="35"/>
      <c r="M4" s="35"/>
      <c r="N4" s="5"/>
      <c r="O4" s="5"/>
      <c r="P4" s="5"/>
      <c r="Q4" s="5"/>
      <c r="R4" s="5">
        <v>40100</v>
      </c>
      <c r="S4" s="5"/>
      <c r="T4" s="5">
        <v>1</v>
      </c>
      <c r="U4" s="5"/>
      <c r="V4" s="5"/>
      <c r="W4" s="5"/>
      <c r="X4" s="5"/>
      <c r="Y4" s="34"/>
      <c r="Z4" s="29"/>
      <c r="AA4" s="29"/>
      <c r="AB4" s="29"/>
      <c r="AC4" s="10">
        <v>401</v>
      </c>
      <c r="AD4" s="15"/>
      <c r="AE4" s="10">
        <v>1</v>
      </c>
      <c r="AF4" s="5"/>
      <c r="AG4" s="5"/>
      <c r="AH4" s="5"/>
      <c r="AI4" s="5"/>
      <c r="AJ4" s="5"/>
      <c r="AK4" s="5"/>
      <c r="AL4" s="5"/>
    </row>
    <row r="5" s="15" customFormat="1" spans="1:38">
      <c r="A5" s="5">
        <v>50100</v>
      </c>
      <c r="B5" s="31" t="s">
        <v>104</v>
      </c>
      <c r="C5" s="32" t="s">
        <v>105</v>
      </c>
      <c r="D5" s="33" t="str">
        <f t="shared" si="0"/>
        <v>Game|UnitIcon/item_mysterybox02</v>
      </c>
      <c r="E5" s="5">
        <v>9</v>
      </c>
      <c r="F5" s="34"/>
      <c r="G5" s="34">
        <v>0</v>
      </c>
      <c r="H5" s="34"/>
      <c r="I5" s="34" t="s">
        <v>103</v>
      </c>
      <c r="J5" s="34">
        <v>0</v>
      </c>
      <c r="K5" s="5">
        <v>0</v>
      </c>
      <c r="L5" s="35"/>
      <c r="M5" s="35"/>
      <c r="N5" s="5"/>
      <c r="O5" s="5"/>
      <c r="P5" s="5"/>
      <c r="Q5" s="5"/>
      <c r="R5" s="5">
        <v>50100</v>
      </c>
      <c r="S5" s="5"/>
      <c r="T5" s="5">
        <v>1</v>
      </c>
      <c r="U5" s="5"/>
      <c r="V5" s="5"/>
      <c r="W5" s="5"/>
      <c r="X5" s="5"/>
      <c r="Y5" s="34"/>
      <c r="Z5" s="29"/>
      <c r="AA5" s="29"/>
      <c r="AB5" s="29"/>
      <c r="AC5" s="10">
        <v>501</v>
      </c>
      <c r="AD5" s="15"/>
      <c r="AE5" s="10">
        <v>1</v>
      </c>
      <c r="AF5" s="5"/>
      <c r="AG5" s="5"/>
      <c r="AH5" s="5"/>
      <c r="AI5" s="5"/>
      <c r="AJ5" s="5"/>
      <c r="AK5" s="5"/>
      <c r="AL5" s="5"/>
    </row>
    <row r="6" s="15" customFormat="1" spans="1:38">
      <c r="A6" s="5">
        <v>60100</v>
      </c>
      <c r="B6" s="31" t="s">
        <v>106</v>
      </c>
      <c r="C6" s="32" t="s">
        <v>107</v>
      </c>
      <c r="D6" s="33" t="str">
        <f t="shared" si="0"/>
        <v>Game|UnitIcon/item_mysterybox03</v>
      </c>
      <c r="E6" s="5">
        <v>9</v>
      </c>
      <c r="F6" s="34"/>
      <c r="G6" s="34">
        <v>0</v>
      </c>
      <c r="H6" s="34"/>
      <c r="I6" s="34" t="s">
        <v>103</v>
      </c>
      <c r="J6" s="34">
        <v>0</v>
      </c>
      <c r="K6" s="5">
        <v>0</v>
      </c>
      <c r="L6" s="35"/>
      <c r="M6" s="35"/>
      <c r="N6" s="5"/>
      <c r="O6" s="5"/>
      <c r="P6" s="5"/>
      <c r="Q6" s="5"/>
      <c r="R6" s="5">
        <v>60100</v>
      </c>
      <c r="S6" s="5"/>
      <c r="T6" s="5">
        <v>1</v>
      </c>
      <c r="U6" s="5"/>
      <c r="V6" s="5"/>
      <c r="W6" s="5"/>
      <c r="X6" s="5"/>
      <c r="Y6" s="34"/>
      <c r="Z6" s="29"/>
      <c r="AA6" s="29"/>
      <c r="AB6" s="29"/>
      <c r="AC6" s="10">
        <v>601</v>
      </c>
      <c r="AD6" s="15"/>
      <c r="AE6" s="10">
        <v>1</v>
      </c>
      <c r="AF6" s="5"/>
      <c r="AG6" s="5"/>
      <c r="AH6" s="5"/>
      <c r="AI6" s="5"/>
      <c r="AJ6" s="5"/>
      <c r="AK6" s="5"/>
      <c r="AL6" s="5"/>
    </row>
    <row r="7" s="15" customFormat="1" spans="1:38">
      <c r="A7" s="5">
        <v>70100</v>
      </c>
      <c r="B7" s="31" t="s">
        <v>108</v>
      </c>
      <c r="C7" s="32" t="s">
        <v>109</v>
      </c>
      <c r="D7" s="33" t="str">
        <f t="shared" si="0"/>
        <v>Game|UnitIcon/item_rewardBox01</v>
      </c>
      <c r="E7" s="5">
        <v>9</v>
      </c>
      <c r="F7" s="34"/>
      <c r="G7" s="34">
        <v>0</v>
      </c>
      <c r="H7" s="34"/>
      <c r="I7" s="34" t="s">
        <v>103</v>
      </c>
      <c r="J7" s="34">
        <v>0</v>
      </c>
      <c r="K7" s="5">
        <v>0</v>
      </c>
      <c r="L7" s="35"/>
      <c r="M7" s="35"/>
      <c r="N7" s="5"/>
      <c r="O7" s="5"/>
      <c r="P7" s="5"/>
      <c r="Q7" s="5"/>
      <c r="R7" s="5">
        <v>70100</v>
      </c>
      <c r="S7" s="5"/>
      <c r="T7" s="5">
        <v>1</v>
      </c>
      <c r="U7" s="5"/>
      <c r="V7" s="5"/>
      <c r="W7" s="5"/>
      <c r="X7" s="5"/>
      <c r="Y7" s="34"/>
      <c r="Z7" s="29"/>
      <c r="AA7" s="29"/>
      <c r="AB7" s="29"/>
      <c r="AC7" s="10">
        <v>701</v>
      </c>
      <c r="AD7" s="15"/>
      <c r="AE7" s="10">
        <v>1</v>
      </c>
      <c r="AF7" s="5"/>
      <c r="AG7" s="5"/>
      <c r="AH7" s="5"/>
      <c r="AI7" s="5"/>
      <c r="AJ7" s="5"/>
      <c r="AK7" s="5"/>
      <c r="AL7" s="5"/>
    </row>
    <row r="8" s="15" customFormat="1" spans="1:38">
      <c r="A8" s="5">
        <v>80100</v>
      </c>
      <c r="B8" s="31" t="s">
        <v>110</v>
      </c>
      <c r="C8" s="32" t="s">
        <v>111</v>
      </c>
      <c r="D8" s="33" t="str">
        <f t="shared" si="0"/>
        <v>Game|UnitIcon/item_rewardBox02</v>
      </c>
      <c r="E8" s="5">
        <v>9</v>
      </c>
      <c r="F8" s="34"/>
      <c r="G8" s="34">
        <v>0</v>
      </c>
      <c r="H8" s="34"/>
      <c r="I8" s="34" t="s">
        <v>103</v>
      </c>
      <c r="J8" s="34">
        <v>0</v>
      </c>
      <c r="K8" s="5">
        <v>0</v>
      </c>
      <c r="L8" s="35"/>
      <c r="M8" s="35"/>
      <c r="N8" s="5"/>
      <c r="O8" s="5"/>
      <c r="P8" s="5"/>
      <c r="Q8" s="5"/>
      <c r="R8" s="5">
        <v>80100</v>
      </c>
      <c r="S8" s="5"/>
      <c r="T8" s="5">
        <v>1</v>
      </c>
      <c r="U8" s="5"/>
      <c r="V8" s="5"/>
      <c r="W8" s="5"/>
      <c r="X8" s="5"/>
      <c r="Y8" s="34"/>
      <c r="Z8" s="29"/>
      <c r="AA8" s="29"/>
      <c r="AB8" s="29"/>
      <c r="AC8" s="10">
        <v>801</v>
      </c>
      <c r="AD8" s="15"/>
      <c r="AE8" s="10">
        <v>1</v>
      </c>
      <c r="AF8" s="5"/>
      <c r="AG8" s="5"/>
      <c r="AH8" s="5"/>
      <c r="AI8" s="5"/>
      <c r="AJ8" s="5"/>
      <c r="AK8" s="5"/>
      <c r="AL8" s="5"/>
    </row>
    <row r="9" s="15" customFormat="1" spans="1:38">
      <c r="A9" s="5">
        <v>1010100</v>
      </c>
      <c r="B9" s="31" t="s">
        <v>112</v>
      </c>
      <c r="C9" s="32" t="s">
        <v>113</v>
      </c>
      <c r="D9" s="33" t="str">
        <f t="shared" si="0"/>
        <v>Game|UnitIcon/item_clbox1</v>
      </c>
      <c r="E9" s="5">
        <v>9</v>
      </c>
      <c r="F9" s="34"/>
      <c r="G9" s="34">
        <v>0</v>
      </c>
      <c r="H9" s="34"/>
      <c r="I9" s="34" t="s">
        <v>103</v>
      </c>
      <c r="J9" s="34">
        <v>0</v>
      </c>
      <c r="K9" s="5">
        <v>0</v>
      </c>
      <c r="L9" s="35"/>
      <c r="M9" s="35"/>
      <c r="N9" s="5"/>
      <c r="O9" s="5"/>
      <c r="P9" s="5"/>
      <c r="Q9" s="5"/>
      <c r="R9" s="5">
        <v>1010100</v>
      </c>
      <c r="S9" s="5"/>
      <c r="T9" s="5">
        <v>1</v>
      </c>
      <c r="U9" s="5"/>
      <c r="V9" s="5"/>
      <c r="W9" s="5"/>
      <c r="X9" s="5"/>
      <c r="Y9" s="34"/>
      <c r="Z9" s="29"/>
      <c r="AA9" s="29"/>
      <c r="AB9" s="29"/>
      <c r="AC9" s="10">
        <v>10101</v>
      </c>
      <c r="AD9" s="15"/>
      <c r="AE9" s="10">
        <v>1</v>
      </c>
      <c r="AF9" s="5"/>
      <c r="AG9" s="5"/>
      <c r="AH9" s="5"/>
      <c r="AI9" s="5"/>
      <c r="AJ9" s="5"/>
      <c r="AK9" s="5"/>
      <c r="AL9" s="5"/>
    </row>
    <row r="10" s="15" customFormat="1" spans="1:38">
      <c r="A10" s="5">
        <v>1010200</v>
      </c>
      <c r="B10" s="31" t="s">
        <v>114</v>
      </c>
      <c r="C10" s="32" t="s">
        <v>115</v>
      </c>
      <c r="D10" s="33" t="str">
        <f t="shared" si="0"/>
        <v>Game|UnitIcon/item_clbox2</v>
      </c>
      <c r="E10" s="5">
        <v>9</v>
      </c>
      <c r="F10" s="34"/>
      <c r="G10" s="34">
        <v>0</v>
      </c>
      <c r="H10" s="34"/>
      <c r="I10" s="34" t="s">
        <v>103</v>
      </c>
      <c r="J10" s="34">
        <v>0</v>
      </c>
      <c r="K10" s="5">
        <v>0</v>
      </c>
      <c r="L10" s="35"/>
      <c r="M10" s="35"/>
      <c r="N10" s="5"/>
      <c r="O10" s="5"/>
      <c r="P10" s="5"/>
      <c r="Q10" s="5"/>
      <c r="R10" s="5">
        <v>1010200</v>
      </c>
      <c r="S10" s="5"/>
      <c r="T10" s="5">
        <v>1</v>
      </c>
      <c r="U10" s="5"/>
      <c r="V10" s="5"/>
      <c r="W10" s="5"/>
      <c r="X10" s="5"/>
      <c r="Y10" s="34"/>
      <c r="Z10" s="29"/>
      <c r="AA10" s="29"/>
      <c r="AB10" s="29"/>
      <c r="AC10" s="10">
        <v>10201</v>
      </c>
      <c r="AD10" s="15"/>
      <c r="AE10" s="10">
        <v>1</v>
      </c>
      <c r="AF10" s="5"/>
      <c r="AG10" s="5"/>
      <c r="AH10" s="5"/>
      <c r="AI10" s="5"/>
      <c r="AJ10" s="5"/>
      <c r="AK10" s="5"/>
      <c r="AL10" s="5"/>
    </row>
    <row r="11" s="15" customFormat="1" spans="1:38">
      <c r="A11" s="5">
        <v>5010101</v>
      </c>
      <c r="B11" s="31" t="s">
        <v>116</v>
      </c>
      <c r="C11" s="32" t="s">
        <v>117</v>
      </c>
      <c r="D11" s="33" t="str">
        <f t="shared" ref="D11:D22" si="1">"Game|UnitIcon/"&amp;C11</f>
        <v>Game|UnitIcon/shan_btn_launch</v>
      </c>
      <c r="E11" s="5">
        <v>20001</v>
      </c>
      <c r="F11" s="34"/>
      <c r="G11" s="34">
        <v>0</v>
      </c>
      <c r="H11" s="34"/>
      <c r="I11" s="34" t="s">
        <v>118</v>
      </c>
      <c r="J11" s="34">
        <v>0</v>
      </c>
      <c r="K11" s="5">
        <v>0</v>
      </c>
      <c r="L11" s="35"/>
      <c r="M11" s="35"/>
      <c r="N11" s="5"/>
      <c r="O11" s="5"/>
      <c r="P11" s="5"/>
      <c r="Q11" s="5"/>
      <c r="R11" s="5">
        <v>50101</v>
      </c>
      <c r="S11" s="5"/>
      <c r="T11" s="5">
        <v>1</v>
      </c>
      <c r="U11" s="5"/>
      <c r="V11" s="5"/>
      <c r="W11" s="5"/>
      <c r="X11" s="5"/>
      <c r="Y11" s="34"/>
      <c r="Z11" s="29"/>
      <c r="AA11" s="29"/>
      <c r="AB11" s="29"/>
      <c r="AC11" s="13">
        <v>50201</v>
      </c>
      <c r="AD11" s="10">
        <v>5020101</v>
      </c>
      <c r="AE11" s="10">
        <v>1</v>
      </c>
      <c r="AF11" s="5"/>
      <c r="AG11" s="5"/>
      <c r="AH11" s="5"/>
      <c r="AI11" s="5"/>
      <c r="AJ11" s="5"/>
      <c r="AK11" s="5"/>
      <c r="AL11" s="5"/>
    </row>
    <row r="12" s="15" customFormat="1" spans="1:38">
      <c r="A12" s="5">
        <v>5010201</v>
      </c>
      <c r="B12" s="31" t="s">
        <v>119</v>
      </c>
      <c r="C12" s="32" t="s">
        <v>117</v>
      </c>
      <c r="D12" s="33" t="str">
        <f t="shared" si="1"/>
        <v>Game|UnitIcon/shan_btn_launch</v>
      </c>
      <c r="E12" s="5">
        <v>20001</v>
      </c>
      <c r="F12" s="34"/>
      <c r="G12" s="34">
        <v>0</v>
      </c>
      <c r="H12" s="34"/>
      <c r="I12" s="34" t="s">
        <v>118</v>
      </c>
      <c r="J12" s="34">
        <v>0</v>
      </c>
      <c r="K12" s="5">
        <v>0</v>
      </c>
      <c r="L12" s="35"/>
      <c r="M12" s="35"/>
      <c r="N12" s="5"/>
      <c r="O12" s="5"/>
      <c r="P12" s="5"/>
      <c r="Q12" s="5"/>
      <c r="R12" s="5">
        <v>50101</v>
      </c>
      <c r="S12" s="5"/>
      <c r="T12" s="5">
        <v>2</v>
      </c>
      <c r="U12" s="5"/>
      <c r="V12" s="5"/>
      <c r="W12" s="5"/>
      <c r="X12" s="5"/>
      <c r="Y12" s="34"/>
      <c r="Z12" s="29"/>
      <c r="AA12" s="29"/>
      <c r="AB12" s="29"/>
      <c r="AC12" s="13" t="s">
        <v>120</v>
      </c>
      <c r="AD12" s="10" t="s">
        <v>121</v>
      </c>
      <c r="AE12" s="10" t="s">
        <v>122</v>
      </c>
      <c r="AF12" s="5"/>
      <c r="AG12" s="5"/>
      <c r="AH12" s="5"/>
      <c r="AI12" s="5"/>
      <c r="AJ12" s="5"/>
      <c r="AK12" s="5"/>
      <c r="AL12" s="5"/>
    </row>
    <row r="13" s="15" customFormat="1" spans="1:38">
      <c r="A13" s="5">
        <v>5010301</v>
      </c>
      <c r="B13" s="31" t="s">
        <v>123</v>
      </c>
      <c r="C13" s="32" t="s">
        <v>117</v>
      </c>
      <c r="D13" s="33" t="str">
        <f t="shared" si="1"/>
        <v>Game|UnitIcon/shan_btn_launch</v>
      </c>
      <c r="E13" s="5">
        <v>20001</v>
      </c>
      <c r="F13" s="34"/>
      <c r="G13" s="34">
        <v>0</v>
      </c>
      <c r="H13" s="34"/>
      <c r="I13" s="34" t="s">
        <v>118</v>
      </c>
      <c r="J13" s="34">
        <v>0</v>
      </c>
      <c r="K13" s="5">
        <v>0</v>
      </c>
      <c r="L13" s="35"/>
      <c r="M13" s="35"/>
      <c r="N13" s="5"/>
      <c r="O13" s="5"/>
      <c r="P13" s="5"/>
      <c r="Q13" s="5"/>
      <c r="R13" s="5">
        <v>50101</v>
      </c>
      <c r="S13" s="5"/>
      <c r="T13" s="5">
        <v>3</v>
      </c>
      <c r="U13" s="5"/>
      <c r="V13" s="5"/>
      <c r="W13" s="5"/>
      <c r="X13" s="5"/>
      <c r="Y13" s="34"/>
      <c r="Z13" s="29"/>
      <c r="AA13" s="29"/>
      <c r="AB13" s="29"/>
      <c r="AC13" s="13" t="s">
        <v>120</v>
      </c>
      <c r="AD13" s="10" t="s">
        <v>121</v>
      </c>
      <c r="AE13" s="10" t="s">
        <v>122</v>
      </c>
      <c r="AF13" s="5"/>
      <c r="AG13" s="5"/>
      <c r="AH13" s="5"/>
      <c r="AI13" s="5"/>
      <c r="AJ13" s="5"/>
      <c r="AK13" s="5"/>
      <c r="AL13" s="5"/>
    </row>
    <row r="14" s="15" customFormat="1" spans="1:38">
      <c r="A14" s="5">
        <v>5010401</v>
      </c>
      <c r="B14" s="31" t="s">
        <v>124</v>
      </c>
      <c r="C14" s="32" t="s">
        <v>117</v>
      </c>
      <c r="D14" s="33" t="str">
        <f t="shared" si="1"/>
        <v>Game|UnitIcon/shan_btn_launch</v>
      </c>
      <c r="E14" s="5">
        <v>20001</v>
      </c>
      <c r="F14" s="34"/>
      <c r="G14" s="34">
        <v>0</v>
      </c>
      <c r="H14" s="34"/>
      <c r="I14" s="34" t="s">
        <v>118</v>
      </c>
      <c r="J14" s="34">
        <v>0</v>
      </c>
      <c r="K14" s="5">
        <v>0</v>
      </c>
      <c r="L14" s="35"/>
      <c r="M14" s="35"/>
      <c r="N14" s="5"/>
      <c r="O14" s="5"/>
      <c r="P14" s="5"/>
      <c r="Q14" s="5"/>
      <c r="R14" s="5">
        <v>50101</v>
      </c>
      <c r="S14" s="5"/>
      <c r="T14" s="5">
        <v>4</v>
      </c>
      <c r="U14" s="5"/>
      <c r="V14" s="5"/>
      <c r="W14" s="5"/>
      <c r="X14" s="5"/>
      <c r="Y14" s="34"/>
      <c r="Z14" s="29"/>
      <c r="AA14" s="29"/>
      <c r="AB14" s="29"/>
      <c r="AC14" s="13" t="s">
        <v>120</v>
      </c>
      <c r="AD14" s="10" t="s">
        <v>121</v>
      </c>
      <c r="AE14" s="10" t="s">
        <v>122</v>
      </c>
      <c r="AF14" s="5"/>
      <c r="AG14" s="5"/>
      <c r="AH14" s="5"/>
      <c r="AI14" s="5"/>
      <c r="AJ14" s="5"/>
      <c r="AK14" s="5"/>
      <c r="AL14" s="5"/>
    </row>
    <row r="15" s="15" customFormat="1" spans="1:38">
      <c r="A15" s="5">
        <v>5020101</v>
      </c>
      <c r="B15" s="31" t="s">
        <v>125</v>
      </c>
      <c r="C15" s="32" t="s">
        <v>126</v>
      </c>
      <c r="D15" s="33" t="str">
        <f t="shared" si="1"/>
        <v>Game|UnitIcon/item_coffee_cw1_kf_1</v>
      </c>
      <c r="E15" s="5">
        <v>10001</v>
      </c>
      <c r="F15" s="34"/>
      <c r="G15" s="34">
        <v>0</v>
      </c>
      <c r="H15" s="34"/>
      <c r="I15" s="34" t="s">
        <v>127</v>
      </c>
      <c r="J15" s="34">
        <v>0</v>
      </c>
      <c r="K15" s="5">
        <v>0</v>
      </c>
      <c r="L15" s="35"/>
      <c r="M15" s="35"/>
      <c r="N15" s="5"/>
      <c r="O15" s="5"/>
      <c r="P15" s="5"/>
      <c r="Q15" s="5"/>
      <c r="R15" s="5">
        <v>50201</v>
      </c>
      <c r="S15" s="5"/>
      <c r="T15" s="5">
        <v>1</v>
      </c>
      <c r="U15" s="5"/>
      <c r="V15" s="5"/>
      <c r="W15" s="5"/>
      <c r="X15" s="5">
        <v>5020201</v>
      </c>
      <c r="Y15" s="29"/>
      <c r="Z15" s="29"/>
      <c r="AA15" s="29"/>
      <c r="AB15" s="29"/>
      <c r="AC15" s="10"/>
      <c r="AD15" s="10"/>
      <c r="AE15" s="10"/>
      <c r="AF15" s="5"/>
      <c r="AG15" s="5"/>
      <c r="AH15" s="5"/>
      <c r="AI15" s="5"/>
      <c r="AJ15" s="5"/>
      <c r="AK15" s="5"/>
      <c r="AL15" s="5"/>
    </row>
    <row r="16" s="15" customFormat="1" spans="1:38">
      <c r="A16" s="5">
        <v>5020201</v>
      </c>
      <c r="B16" s="31" t="s">
        <v>128</v>
      </c>
      <c r="C16" s="32" t="s">
        <v>129</v>
      </c>
      <c r="D16" s="33" t="str">
        <f t="shared" si="1"/>
        <v>Game|UnitIcon/item_coffee_cw1_kf_2</v>
      </c>
      <c r="E16" s="5">
        <v>10001</v>
      </c>
      <c r="F16" s="34"/>
      <c r="G16" s="34">
        <v>0</v>
      </c>
      <c r="H16" s="34"/>
      <c r="I16" s="34" t="s">
        <v>127</v>
      </c>
      <c r="J16" s="34">
        <v>0</v>
      </c>
      <c r="K16" s="5">
        <v>0</v>
      </c>
      <c r="L16" s="35"/>
      <c r="M16" s="35"/>
      <c r="N16" s="5"/>
      <c r="O16" s="5"/>
      <c r="P16" s="5"/>
      <c r="Q16" s="5"/>
      <c r="R16" s="5">
        <v>50201</v>
      </c>
      <c r="S16" s="5"/>
      <c r="T16" s="5">
        <v>2</v>
      </c>
      <c r="U16" s="5"/>
      <c r="V16" s="5"/>
      <c r="W16" s="5"/>
      <c r="X16" s="5">
        <v>5020301</v>
      </c>
      <c r="Y16" s="34"/>
      <c r="Z16" s="29"/>
      <c r="AA16" s="29"/>
      <c r="AB16" s="29"/>
      <c r="AC16" s="10"/>
      <c r="AD16" s="10"/>
      <c r="AE16" s="10"/>
      <c r="AF16" s="5"/>
      <c r="AG16" s="5"/>
      <c r="AH16" s="5"/>
      <c r="AI16" s="5"/>
      <c r="AJ16" s="5"/>
      <c r="AK16" s="5"/>
      <c r="AL16" s="5"/>
    </row>
    <row r="17" s="15" customFormat="1" spans="1:38">
      <c r="A17" s="5">
        <v>5020301</v>
      </c>
      <c r="B17" s="31" t="s">
        <v>130</v>
      </c>
      <c r="C17" s="32" t="s">
        <v>131</v>
      </c>
      <c r="D17" s="33" t="str">
        <f t="shared" si="1"/>
        <v>Game|UnitIcon/item_coffee_cw1_kf_3</v>
      </c>
      <c r="E17" s="5">
        <v>10001</v>
      </c>
      <c r="F17" s="34"/>
      <c r="G17" s="34">
        <v>0</v>
      </c>
      <c r="H17" s="34"/>
      <c r="I17" s="34" t="s">
        <v>127</v>
      </c>
      <c r="J17" s="34">
        <v>0</v>
      </c>
      <c r="K17" s="5">
        <v>0</v>
      </c>
      <c r="L17" s="35"/>
      <c r="M17" s="35"/>
      <c r="N17" s="5"/>
      <c r="O17" s="5"/>
      <c r="P17" s="5"/>
      <c r="Q17" s="5"/>
      <c r="R17" s="5">
        <v>50201</v>
      </c>
      <c r="S17" s="5"/>
      <c r="T17" s="5">
        <v>3</v>
      </c>
      <c r="U17" s="5"/>
      <c r="V17" s="5"/>
      <c r="W17" s="5"/>
      <c r="X17" s="5">
        <v>5020401</v>
      </c>
      <c r="Y17" s="34"/>
      <c r="Z17" s="29"/>
      <c r="AA17" s="29"/>
      <c r="AB17" s="29"/>
      <c r="AC17" s="10"/>
      <c r="AD17" s="10"/>
      <c r="AE17" s="10"/>
      <c r="AF17" s="5"/>
      <c r="AG17" s="5"/>
      <c r="AH17" s="5"/>
      <c r="AI17" s="5"/>
      <c r="AJ17" s="5"/>
      <c r="AK17" s="5"/>
      <c r="AL17" s="5"/>
    </row>
    <row r="18" s="15" customFormat="1" spans="1:38">
      <c r="A18" s="5">
        <v>5020401</v>
      </c>
      <c r="B18" s="31" t="s">
        <v>132</v>
      </c>
      <c r="C18" s="32" t="s">
        <v>133</v>
      </c>
      <c r="D18" s="33" t="str">
        <f t="shared" si="1"/>
        <v>Game|UnitIcon/item_coffee_cw1_kf_4</v>
      </c>
      <c r="E18" s="5">
        <v>10001</v>
      </c>
      <c r="F18" s="34"/>
      <c r="G18" s="34">
        <v>0</v>
      </c>
      <c r="H18" s="34"/>
      <c r="I18" s="34" t="s">
        <v>127</v>
      </c>
      <c r="J18" s="34">
        <v>0</v>
      </c>
      <c r="K18" s="5">
        <v>0</v>
      </c>
      <c r="L18" s="35"/>
      <c r="M18" s="35"/>
      <c r="N18" s="5"/>
      <c r="O18" s="5"/>
      <c r="P18" s="5"/>
      <c r="Q18" s="5"/>
      <c r="R18" s="5">
        <v>50201</v>
      </c>
      <c r="S18" s="5"/>
      <c r="T18" s="5">
        <v>4</v>
      </c>
      <c r="U18" s="5"/>
      <c r="V18" s="5"/>
      <c r="W18" s="5"/>
      <c r="X18" s="5">
        <v>5020501</v>
      </c>
      <c r="Y18" s="34"/>
      <c r="Z18" s="29"/>
      <c r="AA18" s="29"/>
      <c r="AB18" s="29" t="s">
        <v>134</v>
      </c>
      <c r="AC18" s="10"/>
      <c r="AD18" s="10"/>
      <c r="AE18" s="10"/>
      <c r="AF18" s="5"/>
      <c r="AG18" s="5"/>
      <c r="AH18" s="5"/>
      <c r="AI18" s="5"/>
      <c r="AJ18" s="5"/>
      <c r="AK18" s="5"/>
      <c r="AL18" s="5"/>
    </row>
    <row r="19" s="15" customFormat="1" spans="1:38">
      <c r="A19" s="5">
        <v>5020501</v>
      </c>
      <c r="B19" s="31" t="s">
        <v>135</v>
      </c>
      <c r="C19" s="32" t="s">
        <v>136</v>
      </c>
      <c r="D19" s="33" t="str">
        <f t="shared" si="1"/>
        <v>Game|UnitIcon/item_coffee_cw1_kf_5</v>
      </c>
      <c r="E19" s="5">
        <v>10001</v>
      </c>
      <c r="F19" s="34"/>
      <c r="G19" s="34">
        <v>0</v>
      </c>
      <c r="H19" s="34"/>
      <c r="I19" s="34" t="s">
        <v>127</v>
      </c>
      <c r="J19" s="34">
        <v>0</v>
      </c>
      <c r="K19" s="5">
        <v>0</v>
      </c>
      <c r="L19" s="35"/>
      <c r="M19" s="35"/>
      <c r="N19" s="5"/>
      <c r="O19" s="5"/>
      <c r="P19" s="5"/>
      <c r="Q19" s="5"/>
      <c r="R19" s="5">
        <v>50201</v>
      </c>
      <c r="S19" s="5"/>
      <c r="T19" s="5">
        <v>5</v>
      </c>
      <c r="U19" s="5"/>
      <c r="V19" s="5"/>
      <c r="W19" s="5"/>
      <c r="X19" s="5">
        <v>5020601</v>
      </c>
      <c r="Y19" s="34"/>
      <c r="Z19" s="29"/>
      <c r="AA19" s="29"/>
      <c r="AB19" s="29" t="s">
        <v>137</v>
      </c>
      <c r="AC19" s="10"/>
      <c r="AD19" s="10"/>
      <c r="AE19" s="10"/>
      <c r="AF19" s="5"/>
      <c r="AG19" s="5"/>
      <c r="AH19" s="5"/>
      <c r="AI19" s="5"/>
      <c r="AJ19" s="5"/>
      <c r="AK19" s="5"/>
      <c r="AL19" s="5"/>
    </row>
    <row r="20" s="15" customFormat="1" spans="1:38">
      <c r="A20" s="5">
        <v>5020601</v>
      </c>
      <c r="B20" s="31" t="s">
        <v>138</v>
      </c>
      <c r="C20" s="32" t="s">
        <v>139</v>
      </c>
      <c r="D20" s="33" t="str">
        <f t="shared" si="1"/>
        <v>Game|UnitIcon/item_coffee_cw1_kf_6</v>
      </c>
      <c r="E20" s="5">
        <v>10001</v>
      </c>
      <c r="F20" s="34"/>
      <c r="G20" s="34">
        <v>0</v>
      </c>
      <c r="H20" s="34"/>
      <c r="I20" s="34" t="s">
        <v>127</v>
      </c>
      <c r="J20" s="34">
        <v>0</v>
      </c>
      <c r="K20" s="5">
        <v>0</v>
      </c>
      <c r="L20" s="35"/>
      <c r="M20" s="35"/>
      <c r="N20" s="5"/>
      <c r="O20" s="5"/>
      <c r="P20" s="5"/>
      <c r="Q20" s="5"/>
      <c r="R20" s="5">
        <v>50201</v>
      </c>
      <c r="S20" s="5"/>
      <c r="T20" s="5">
        <v>6</v>
      </c>
      <c r="U20" s="5"/>
      <c r="V20" s="5"/>
      <c r="W20" s="5"/>
      <c r="X20" s="5">
        <v>5020701</v>
      </c>
      <c r="Y20" s="34"/>
      <c r="Z20" s="29"/>
      <c r="AA20" s="29"/>
      <c r="AB20" s="29" t="s">
        <v>134</v>
      </c>
      <c r="AC20" s="10"/>
      <c r="AD20" s="10"/>
      <c r="AE20" s="10"/>
      <c r="AF20" s="5"/>
      <c r="AG20" s="5"/>
      <c r="AH20" s="5"/>
      <c r="AI20" s="5"/>
      <c r="AJ20" s="5"/>
      <c r="AK20" s="5"/>
      <c r="AL20" s="5"/>
    </row>
    <row r="21" s="15" customFormat="1" spans="1:38">
      <c r="A21" s="5">
        <v>5020701</v>
      </c>
      <c r="B21" s="31" t="s">
        <v>140</v>
      </c>
      <c r="C21" s="32" t="s">
        <v>141</v>
      </c>
      <c r="D21" s="33" t="str">
        <f t="shared" si="1"/>
        <v>Game|UnitIcon/item_coffee_cw1_kf_7</v>
      </c>
      <c r="E21" s="5">
        <v>10001</v>
      </c>
      <c r="F21" s="34"/>
      <c r="G21" s="34">
        <v>0</v>
      </c>
      <c r="H21" s="34"/>
      <c r="I21" s="34" t="s">
        <v>127</v>
      </c>
      <c r="J21" s="34">
        <v>0</v>
      </c>
      <c r="K21" s="5">
        <v>0</v>
      </c>
      <c r="L21" s="35"/>
      <c r="M21" s="35"/>
      <c r="N21" s="5"/>
      <c r="O21" s="5"/>
      <c r="P21" s="5"/>
      <c r="Q21" s="5"/>
      <c r="R21" s="5">
        <v>50201</v>
      </c>
      <c r="S21" s="5"/>
      <c r="T21" s="5">
        <v>7</v>
      </c>
      <c r="U21" s="5"/>
      <c r="V21" s="5"/>
      <c r="W21" s="5"/>
      <c r="X21" s="5">
        <v>5020801</v>
      </c>
      <c r="Y21" s="34"/>
      <c r="Z21" s="29"/>
      <c r="AA21" s="29"/>
      <c r="AB21" s="29" t="s">
        <v>142</v>
      </c>
      <c r="AC21" s="10"/>
      <c r="AD21" s="10"/>
      <c r="AE21" s="10"/>
      <c r="AF21" s="5"/>
      <c r="AG21" s="5"/>
      <c r="AH21" s="5"/>
      <c r="AI21" s="5"/>
      <c r="AJ21" s="5"/>
      <c r="AK21" s="5"/>
      <c r="AL21" s="5"/>
    </row>
    <row r="22" s="15" customFormat="1" spans="1:38">
      <c r="A22" s="5">
        <v>5020801</v>
      </c>
      <c r="B22" s="31" t="s">
        <v>143</v>
      </c>
      <c r="C22" s="32" t="s">
        <v>144</v>
      </c>
      <c r="D22" s="33" t="str">
        <f t="shared" si="1"/>
        <v>Game|UnitIcon/item_coffee_cw1_kf_8</v>
      </c>
      <c r="E22" s="5">
        <v>10001</v>
      </c>
      <c r="F22" s="34"/>
      <c r="G22" s="34">
        <v>0</v>
      </c>
      <c r="H22" s="34"/>
      <c r="I22" s="34" t="s">
        <v>127</v>
      </c>
      <c r="J22" s="34">
        <v>0</v>
      </c>
      <c r="K22" s="5">
        <v>0</v>
      </c>
      <c r="L22" s="35"/>
      <c r="M22" s="35"/>
      <c r="N22" s="5"/>
      <c r="O22" s="5"/>
      <c r="P22" s="5"/>
      <c r="Q22" s="5"/>
      <c r="R22" s="5">
        <v>50201</v>
      </c>
      <c r="S22" s="5"/>
      <c r="T22" s="5">
        <v>8</v>
      </c>
      <c r="U22" s="5"/>
      <c r="V22" s="5"/>
      <c r="W22" s="5"/>
      <c r="X22" s="5">
        <v>5020901</v>
      </c>
      <c r="Y22" s="34"/>
      <c r="Z22" s="29"/>
      <c r="AA22" s="29"/>
      <c r="AB22" s="29" t="s">
        <v>145</v>
      </c>
      <c r="AC22" s="10"/>
      <c r="AD22" s="10"/>
      <c r="AE22" s="10"/>
      <c r="AF22" s="5"/>
      <c r="AG22" s="5"/>
      <c r="AH22" s="5"/>
      <c r="AI22" s="5"/>
      <c r="AJ22" s="5"/>
      <c r="AK22" s="5"/>
      <c r="AL22" s="5"/>
    </row>
    <row r="23" s="15" customFormat="1" spans="1:38">
      <c r="A23" s="5">
        <v>5020901</v>
      </c>
      <c r="B23" s="31" t="s">
        <v>146</v>
      </c>
      <c r="C23" s="32" t="s">
        <v>147</v>
      </c>
      <c r="D23" s="33" t="str">
        <f t="shared" ref="D23:D42" si="2">"Game|UnitIcon/"&amp;C23</f>
        <v>Game|UnitIcon/item_coffee_cw1_kf_9</v>
      </c>
      <c r="E23" s="5">
        <v>10001</v>
      </c>
      <c r="F23" s="34"/>
      <c r="G23" s="34">
        <v>0</v>
      </c>
      <c r="H23" s="34"/>
      <c r="I23" s="34" t="s">
        <v>127</v>
      </c>
      <c r="J23" s="34">
        <v>0</v>
      </c>
      <c r="K23" s="5">
        <v>0</v>
      </c>
      <c r="L23" s="35"/>
      <c r="M23" s="35"/>
      <c r="N23" s="5"/>
      <c r="O23" s="5"/>
      <c r="P23" s="5"/>
      <c r="Q23" s="5"/>
      <c r="R23" s="5">
        <v>50201</v>
      </c>
      <c r="S23" s="5"/>
      <c r="T23" s="5">
        <v>9</v>
      </c>
      <c r="U23" s="5"/>
      <c r="V23" s="5"/>
      <c r="W23" s="5"/>
      <c r="X23" s="5">
        <v>5021001</v>
      </c>
      <c r="Y23" s="34"/>
      <c r="Z23" s="29"/>
      <c r="AA23" s="29"/>
      <c r="AB23" s="29" t="s">
        <v>148</v>
      </c>
      <c r="AC23" s="10"/>
      <c r="AD23" s="10"/>
      <c r="AE23" s="10"/>
      <c r="AF23" s="5"/>
      <c r="AG23" s="5"/>
      <c r="AH23" s="5"/>
      <c r="AI23" s="5"/>
      <c r="AJ23" s="5"/>
      <c r="AK23" s="5"/>
      <c r="AL23" s="5"/>
    </row>
    <row r="24" s="15" customFormat="1" spans="1:38">
      <c r="A24" s="5">
        <v>5021001</v>
      </c>
      <c r="B24" s="31" t="s">
        <v>149</v>
      </c>
      <c r="C24" s="32" t="s">
        <v>150</v>
      </c>
      <c r="D24" s="33" t="str">
        <f t="shared" si="2"/>
        <v>Game|UnitIcon/item_coffee_cw1_kf_10</v>
      </c>
      <c r="E24" s="5">
        <v>10001</v>
      </c>
      <c r="F24" s="34"/>
      <c r="G24" s="34">
        <v>0</v>
      </c>
      <c r="H24" s="34"/>
      <c r="I24" s="34" t="s">
        <v>127</v>
      </c>
      <c r="J24" s="34">
        <v>0</v>
      </c>
      <c r="K24" s="5">
        <v>0</v>
      </c>
      <c r="L24" s="35"/>
      <c r="M24" s="35"/>
      <c r="N24" s="5"/>
      <c r="O24" s="5"/>
      <c r="P24" s="5"/>
      <c r="Q24" s="5"/>
      <c r="R24" s="5">
        <v>50201</v>
      </c>
      <c r="S24" s="5"/>
      <c r="T24" s="5">
        <v>10</v>
      </c>
      <c r="U24" s="5"/>
      <c r="V24" s="5"/>
      <c r="W24" s="5"/>
      <c r="X24" s="5">
        <v>5021101</v>
      </c>
      <c r="Y24" s="34"/>
      <c r="Z24" s="29"/>
      <c r="AA24" s="29"/>
      <c r="AB24" s="29" t="s">
        <v>151</v>
      </c>
      <c r="AC24" s="10"/>
      <c r="AD24" s="10"/>
      <c r="AE24" s="10"/>
      <c r="AF24" s="5"/>
      <c r="AG24" s="5"/>
      <c r="AH24" s="5"/>
      <c r="AI24" s="5"/>
      <c r="AJ24" s="5"/>
      <c r="AK24" s="5"/>
      <c r="AL24" s="5"/>
    </row>
    <row r="25" s="15" customFormat="1" spans="1:38">
      <c r="A25" s="5">
        <v>5021101</v>
      </c>
      <c r="B25" s="31" t="s">
        <v>152</v>
      </c>
      <c r="C25" s="32" t="s">
        <v>153</v>
      </c>
      <c r="D25" s="33" t="str">
        <f t="shared" si="2"/>
        <v>Game|UnitIcon/item_coffee_cw1_kf_11</v>
      </c>
      <c r="E25" s="5">
        <v>10001</v>
      </c>
      <c r="F25" s="34"/>
      <c r="G25" s="34">
        <v>0</v>
      </c>
      <c r="H25" s="34"/>
      <c r="I25" s="34" t="s">
        <v>127</v>
      </c>
      <c r="J25" s="34">
        <v>0</v>
      </c>
      <c r="K25" s="5">
        <v>0</v>
      </c>
      <c r="L25" s="35"/>
      <c r="M25" s="35"/>
      <c r="N25" s="5"/>
      <c r="O25" s="5"/>
      <c r="P25" s="5"/>
      <c r="Q25" s="5"/>
      <c r="R25" s="5">
        <v>50201</v>
      </c>
      <c r="S25" s="5"/>
      <c r="T25" s="5">
        <v>11</v>
      </c>
      <c r="U25" s="5"/>
      <c r="V25" s="5"/>
      <c r="W25" s="5"/>
      <c r="X25" s="5">
        <v>5021201</v>
      </c>
      <c r="Y25" s="34"/>
      <c r="Z25" s="29"/>
      <c r="AA25" s="29"/>
      <c r="AB25" s="29" t="s">
        <v>154</v>
      </c>
      <c r="AC25" s="10"/>
      <c r="AD25" s="10"/>
      <c r="AE25" s="10"/>
      <c r="AF25" s="5"/>
      <c r="AG25" s="5"/>
      <c r="AH25" s="5"/>
      <c r="AI25" s="5"/>
      <c r="AJ25" s="5"/>
      <c r="AK25" s="5"/>
      <c r="AL25" s="5"/>
    </row>
    <row r="26" s="15" customFormat="1" spans="1:38">
      <c r="A26" s="5">
        <v>5021201</v>
      </c>
      <c r="B26" s="31" t="s">
        <v>155</v>
      </c>
      <c r="C26" s="32" t="s">
        <v>156</v>
      </c>
      <c r="D26" s="33" t="str">
        <f t="shared" si="2"/>
        <v>Game|UnitIcon/item_coffee_cw1_kf_12</v>
      </c>
      <c r="E26" s="5">
        <v>10001</v>
      </c>
      <c r="F26" s="34"/>
      <c r="G26" s="34">
        <v>0</v>
      </c>
      <c r="H26" s="34"/>
      <c r="I26" s="34" t="s">
        <v>127</v>
      </c>
      <c r="J26" s="34">
        <v>0</v>
      </c>
      <c r="K26" s="5">
        <v>0</v>
      </c>
      <c r="L26" s="35"/>
      <c r="M26" s="35"/>
      <c r="N26" s="5"/>
      <c r="O26" s="5"/>
      <c r="P26" s="5"/>
      <c r="Q26" s="5"/>
      <c r="R26" s="5">
        <v>50201</v>
      </c>
      <c r="S26" s="5"/>
      <c r="T26" s="5">
        <v>12</v>
      </c>
      <c r="U26" s="5"/>
      <c r="V26" s="5"/>
      <c r="W26" s="5"/>
      <c r="X26" s="5">
        <v>5021301</v>
      </c>
      <c r="Y26" s="34"/>
      <c r="Z26" s="29"/>
      <c r="AA26" s="29"/>
      <c r="AB26" s="29" t="s">
        <v>157</v>
      </c>
      <c r="AC26" s="10"/>
      <c r="AD26" s="10"/>
      <c r="AE26" s="10"/>
      <c r="AF26" s="5"/>
      <c r="AG26" s="5"/>
      <c r="AH26" s="5"/>
      <c r="AI26" s="5"/>
      <c r="AJ26" s="5"/>
      <c r="AK26" s="5"/>
      <c r="AL26" s="5"/>
    </row>
    <row r="27" s="15" customFormat="1" spans="1:38">
      <c r="A27" s="5">
        <v>5021301</v>
      </c>
      <c r="B27" s="31" t="s">
        <v>158</v>
      </c>
      <c r="C27" s="32" t="s">
        <v>159</v>
      </c>
      <c r="D27" s="33" t="str">
        <f t="shared" si="2"/>
        <v>Game|UnitIcon/item_coffee_cw1_kf_13</v>
      </c>
      <c r="E27" s="5">
        <v>8</v>
      </c>
      <c r="F27" s="34">
        <v>1</v>
      </c>
      <c r="G27" s="34">
        <v>0</v>
      </c>
      <c r="H27" s="34"/>
      <c r="I27" s="34" t="s">
        <v>118</v>
      </c>
      <c r="J27" s="34">
        <v>0</v>
      </c>
      <c r="K27" s="5">
        <v>0</v>
      </c>
      <c r="L27" s="35"/>
      <c r="M27" s="35"/>
      <c r="N27" s="5"/>
      <c r="O27" s="5">
        <v>3</v>
      </c>
      <c r="P27" s="5"/>
      <c r="Q27" s="5"/>
      <c r="R27" s="5">
        <v>50201</v>
      </c>
      <c r="S27" s="5"/>
      <c r="T27" s="5">
        <v>13</v>
      </c>
      <c r="U27" s="5"/>
      <c r="V27" s="5"/>
      <c r="W27" s="5"/>
      <c r="X27" s="5"/>
      <c r="Y27" s="34"/>
      <c r="Z27" s="29"/>
      <c r="AA27" s="29"/>
      <c r="AB27" s="29"/>
      <c r="AC27" s="10" t="s">
        <v>160</v>
      </c>
      <c r="AD27" s="10"/>
      <c r="AE27" s="10"/>
      <c r="AF27" s="5"/>
      <c r="AG27" s="5"/>
      <c r="AH27" s="5"/>
      <c r="AI27" s="5"/>
      <c r="AJ27" s="5"/>
      <c r="AK27" s="5"/>
      <c r="AL27" s="5"/>
    </row>
    <row r="28" s="15" customFormat="1" spans="1:38">
      <c r="A28" s="5">
        <v>5030101</v>
      </c>
      <c r="B28" s="31" t="s">
        <v>161</v>
      </c>
      <c r="C28" s="36" t="s">
        <v>162</v>
      </c>
      <c r="D28" s="33" t="str">
        <f t="shared" si="2"/>
        <v>Game|UnitIcon/item_coffee_cw2_rg_1</v>
      </c>
      <c r="E28" s="5">
        <v>10001</v>
      </c>
      <c r="F28" s="34"/>
      <c r="G28" s="34">
        <v>0</v>
      </c>
      <c r="H28" s="34"/>
      <c r="I28" s="34" t="s">
        <v>127</v>
      </c>
      <c r="J28" s="34">
        <v>0</v>
      </c>
      <c r="K28" s="5">
        <v>0</v>
      </c>
      <c r="L28" s="35"/>
      <c r="M28" s="35"/>
      <c r="N28" s="5"/>
      <c r="O28" s="5"/>
      <c r="P28" s="5"/>
      <c r="Q28" s="5"/>
      <c r="R28" s="5">
        <v>50301</v>
      </c>
      <c r="S28" s="5"/>
      <c r="T28" s="5">
        <v>1</v>
      </c>
      <c r="U28" s="5"/>
      <c r="V28" s="5"/>
      <c r="W28" s="5"/>
      <c r="X28" s="5">
        <f>A29</f>
        <v>5030201</v>
      </c>
      <c r="Y28" s="29"/>
      <c r="Z28" s="29"/>
      <c r="AA28" s="29"/>
      <c r="AB28" s="29"/>
      <c r="AC28" s="10"/>
      <c r="AD28" s="10"/>
      <c r="AE28" s="10"/>
      <c r="AF28" s="5"/>
      <c r="AG28" s="5"/>
      <c r="AH28" s="5"/>
      <c r="AI28" s="5"/>
      <c r="AJ28" s="5"/>
      <c r="AK28" s="5"/>
      <c r="AL28" s="5"/>
    </row>
    <row r="29" s="15" customFormat="1" spans="1:38">
      <c r="A29" s="5">
        <v>5030201</v>
      </c>
      <c r="B29" s="31" t="s">
        <v>163</v>
      </c>
      <c r="C29" s="36" t="s">
        <v>164</v>
      </c>
      <c r="D29" s="33" t="str">
        <f t="shared" si="2"/>
        <v>Game|UnitIcon/item_coffee_cw2_rg_2</v>
      </c>
      <c r="E29" s="5">
        <v>10001</v>
      </c>
      <c r="F29" s="34"/>
      <c r="G29" s="34">
        <v>0</v>
      </c>
      <c r="H29" s="34"/>
      <c r="I29" s="34" t="s">
        <v>127</v>
      </c>
      <c r="J29" s="34">
        <v>0</v>
      </c>
      <c r="K29" s="5">
        <v>0</v>
      </c>
      <c r="L29" s="35"/>
      <c r="M29" s="35"/>
      <c r="N29" s="5"/>
      <c r="O29" s="5"/>
      <c r="P29" s="5"/>
      <c r="Q29" s="5"/>
      <c r="R29" s="5">
        <v>50301</v>
      </c>
      <c r="S29" s="5"/>
      <c r="T29" s="5">
        <v>2</v>
      </c>
      <c r="U29" s="5"/>
      <c r="V29" s="5"/>
      <c r="W29" s="5"/>
      <c r="X29" s="5">
        <f>A30</f>
        <v>5030301</v>
      </c>
      <c r="Y29" s="34"/>
      <c r="Z29" s="29"/>
      <c r="AA29" s="29"/>
      <c r="AB29" s="29"/>
      <c r="AC29" s="10"/>
      <c r="AD29" s="10"/>
      <c r="AE29" s="10"/>
      <c r="AF29" s="5"/>
      <c r="AG29" s="5"/>
      <c r="AH29" s="5"/>
      <c r="AI29" s="5"/>
      <c r="AJ29" s="5"/>
      <c r="AK29" s="5"/>
      <c r="AL29" s="5"/>
    </row>
    <row r="30" s="15" customFormat="1" spans="1:38">
      <c r="A30" s="5">
        <v>5030301</v>
      </c>
      <c r="B30" s="31" t="s">
        <v>165</v>
      </c>
      <c r="C30" s="36" t="s">
        <v>166</v>
      </c>
      <c r="D30" s="33" t="str">
        <f t="shared" si="2"/>
        <v>Game|UnitIcon/item_coffee_cw2_rg_3</v>
      </c>
      <c r="E30" s="5">
        <v>10001</v>
      </c>
      <c r="F30" s="34"/>
      <c r="G30" s="34">
        <v>0</v>
      </c>
      <c r="H30" s="34"/>
      <c r="I30" s="34" t="s">
        <v>127</v>
      </c>
      <c r="J30" s="34">
        <v>0</v>
      </c>
      <c r="K30" s="5">
        <v>0</v>
      </c>
      <c r="L30" s="35"/>
      <c r="M30" s="35"/>
      <c r="N30" s="5"/>
      <c r="O30" s="5"/>
      <c r="P30" s="5"/>
      <c r="Q30" s="5"/>
      <c r="R30" s="5">
        <v>50301</v>
      </c>
      <c r="S30" s="5"/>
      <c r="T30" s="5">
        <v>3</v>
      </c>
      <c r="U30" s="5"/>
      <c r="V30" s="5"/>
      <c r="W30" s="5"/>
      <c r="X30" s="5">
        <f>A31</f>
        <v>5030401</v>
      </c>
      <c r="Y30" s="34"/>
      <c r="Z30" s="29"/>
      <c r="AA30" s="29"/>
      <c r="AB30" s="29"/>
      <c r="AC30" s="10"/>
      <c r="AD30" s="10"/>
      <c r="AE30" s="10"/>
      <c r="AF30" s="5"/>
      <c r="AG30" s="5"/>
      <c r="AH30" s="5"/>
      <c r="AI30" s="5"/>
      <c r="AJ30" s="5"/>
      <c r="AK30" s="5"/>
      <c r="AL30" s="5"/>
    </row>
    <row r="31" s="15" customFormat="1" spans="1:38">
      <c r="A31" s="5">
        <v>5030401</v>
      </c>
      <c r="B31" s="31" t="s">
        <v>167</v>
      </c>
      <c r="C31" s="36" t="s">
        <v>168</v>
      </c>
      <c r="D31" s="33" t="str">
        <f t="shared" si="2"/>
        <v>Game|UnitIcon/item_coffee_cw2_rg_4</v>
      </c>
      <c r="E31" s="5">
        <v>10001</v>
      </c>
      <c r="F31" s="34"/>
      <c r="G31" s="34">
        <v>0</v>
      </c>
      <c r="H31" s="34"/>
      <c r="I31" s="34" t="s">
        <v>127</v>
      </c>
      <c r="J31" s="34">
        <v>0</v>
      </c>
      <c r="K31" s="5">
        <v>0</v>
      </c>
      <c r="L31" s="35"/>
      <c r="M31" s="35"/>
      <c r="N31" s="5"/>
      <c r="O31" s="5"/>
      <c r="P31" s="5"/>
      <c r="Q31" s="5"/>
      <c r="R31" s="5">
        <v>50301</v>
      </c>
      <c r="S31" s="5"/>
      <c r="T31" s="5">
        <v>4</v>
      </c>
      <c r="U31" s="5"/>
      <c r="V31" s="5"/>
      <c r="W31" s="5"/>
      <c r="X31" s="5">
        <f>A32</f>
        <v>5030501</v>
      </c>
      <c r="Y31" s="34"/>
      <c r="Z31" s="29"/>
      <c r="AA31" s="29"/>
      <c r="AB31" s="29"/>
      <c r="AC31" s="10"/>
      <c r="AD31" s="10"/>
      <c r="AE31" s="10"/>
      <c r="AF31" s="5"/>
      <c r="AG31" s="5"/>
      <c r="AH31" s="5"/>
      <c r="AI31" s="5"/>
      <c r="AJ31" s="5"/>
      <c r="AK31" s="5"/>
      <c r="AL31" s="5"/>
    </row>
    <row r="32" s="15" customFormat="1" spans="1:38">
      <c r="A32" s="5">
        <v>5030501</v>
      </c>
      <c r="B32" s="31" t="s">
        <v>169</v>
      </c>
      <c r="C32" s="36" t="s">
        <v>170</v>
      </c>
      <c r="D32" s="33" t="str">
        <f t="shared" si="2"/>
        <v>Game|UnitIcon/item_coffee_cw2_rg_5</v>
      </c>
      <c r="E32" s="5">
        <v>10001</v>
      </c>
      <c r="F32" s="34"/>
      <c r="G32" s="34">
        <v>0</v>
      </c>
      <c r="H32" s="34"/>
      <c r="I32" s="34" t="s">
        <v>127</v>
      </c>
      <c r="J32" s="34">
        <v>0</v>
      </c>
      <c r="K32" s="5">
        <v>0</v>
      </c>
      <c r="L32" s="35"/>
      <c r="M32" s="35"/>
      <c r="N32" s="5"/>
      <c r="O32" s="5"/>
      <c r="P32" s="5"/>
      <c r="Q32" s="5"/>
      <c r="R32" s="5">
        <v>50301</v>
      </c>
      <c r="S32" s="5"/>
      <c r="T32" s="5">
        <v>5</v>
      </c>
      <c r="U32" s="5"/>
      <c r="V32" s="5"/>
      <c r="W32" s="5"/>
      <c r="X32" s="5">
        <f>A33</f>
        <v>5030601</v>
      </c>
      <c r="Y32" s="34"/>
      <c r="Z32" s="29"/>
      <c r="AA32" s="29"/>
      <c r="AB32" s="29"/>
      <c r="AC32" s="10"/>
      <c r="AD32" s="10"/>
      <c r="AE32" s="10"/>
      <c r="AF32" s="5"/>
      <c r="AG32" s="5"/>
      <c r="AH32" s="5"/>
      <c r="AI32" s="5"/>
      <c r="AJ32" s="5"/>
      <c r="AK32" s="5"/>
      <c r="AL32" s="5"/>
    </row>
    <row r="33" s="15" customFormat="1" spans="1:38">
      <c r="A33" s="5">
        <v>5030601</v>
      </c>
      <c r="B33" s="31" t="s">
        <v>171</v>
      </c>
      <c r="C33" s="36" t="s">
        <v>172</v>
      </c>
      <c r="D33" s="33" t="str">
        <f t="shared" si="2"/>
        <v>Game|UnitIcon/item_coffee_cw2_rg_6</v>
      </c>
      <c r="E33" s="5">
        <v>10001</v>
      </c>
      <c r="F33" s="34">
        <v>2</v>
      </c>
      <c r="G33" s="34">
        <v>0</v>
      </c>
      <c r="H33" s="34"/>
      <c r="I33" s="34" t="s">
        <v>173</v>
      </c>
      <c r="J33" s="34">
        <v>0</v>
      </c>
      <c r="K33" s="5">
        <v>0</v>
      </c>
      <c r="L33" s="35"/>
      <c r="M33" s="35"/>
      <c r="N33" s="5"/>
      <c r="O33" s="5"/>
      <c r="P33" s="5"/>
      <c r="Q33" s="5"/>
      <c r="R33" s="5">
        <v>50301</v>
      </c>
      <c r="S33" s="5"/>
      <c r="T33" s="5">
        <v>6</v>
      </c>
      <c r="U33" s="5"/>
      <c r="V33" s="5"/>
      <c r="W33" s="5"/>
      <c r="X33" s="5"/>
      <c r="Y33" s="34"/>
      <c r="Z33" s="29"/>
      <c r="AA33" s="29"/>
      <c r="AB33" s="29"/>
      <c r="AC33" s="10"/>
      <c r="AD33" s="10"/>
      <c r="AE33" s="10"/>
      <c r="AF33" s="5"/>
      <c r="AG33" s="5"/>
      <c r="AH33" s="5"/>
      <c r="AI33" s="5"/>
      <c r="AJ33" s="5"/>
      <c r="AK33" s="5"/>
      <c r="AL33" s="5"/>
    </row>
    <row r="34" s="15" customFormat="1" spans="1:38">
      <c r="A34" s="5">
        <v>6020101</v>
      </c>
      <c r="B34" s="31" t="s">
        <v>174</v>
      </c>
      <c r="C34" s="36" t="s">
        <v>175</v>
      </c>
      <c r="D34" s="33" t="str">
        <f t="shared" si="2"/>
        <v>Game|UnitIcon/pd_7_7</v>
      </c>
      <c r="E34" s="5">
        <v>8</v>
      </c>
      <c r="F34" s="34">
        <v>1</v>
      </c>
      <c r="G34" s="34">
        <v>0</v>
      </c>
      <c r="H34" s="34"/>
      <c r="I34" s="34"/>
      <c r="J34" s="34"/>
      <c r="K34" s="5"/>
      <c r="L34" s="35"/>
      <c r="M34" s="35"/>
      <c r="N34" s="5"/>
      <c r="O34" s="5">
        <v>4</v>
      </c>
      <c r="P34" s="5"/>
      <c r="Q34" s="5"/>
      <c r="R34" s="5">
        <v>60201</v>
      </c>
      <c r="S34" s="5"/>
      <c r="T34" s="5">
        <v>1</v>
      </c>
      <c r="U34" s="5"/>
      <c r="V34" s="5"/>
      <c r="W34" s="5"/>
      <c r="X34" s="5"/>
      <c r="Y34" s="34"/>
      <c r="Z34" s="29"/>
      <c r="AA34" s="29"/>
      <c r="AB34" s="29"/>
      <c r="AC34" s="10" t="s">
        <v>176</v>
      </c>
      <c r="AD34" s="10"/>
      <c r="AE34" s="10"/>
      <c r="AF34" s="5"/>
      <c r="AG34" s="5"/>
      <c r="AH34" s="5"/>
      <c r="AI34" s="5"/>
      <c r="AJ34" s="5"/>
      <c r="AK34" s="5"/>
      <c r="AL34" s="5"/>
    </row>
    <row r="35" s="15" customFormat="1" spans="1:38">
      <c r="A35" s="5">
        <v>6030101</v>
      </c>
      <c r="B35" s="31" t="s">
        <v>177</v>
      </c>
      <c r="C35" s="32" t="s">
        <v>178</v>
      </c>
      <c r="D35" s="33" t="str">
        <f t="shared" si="2"/>
        <v>Game|UnitIcon/item_coffee_cw3_xf_1</v>
      </c>
      <c r="E35" s="5">
        <v>10001</v>
      </c>
      <c r="F35" s="34"/>
      <c r="G35" s="34">
        <v>0</v>
      </c>
      <c r="H35" s="34"/>
      <c r="I35" s="34" t="s">
        <v>127</v>
      </c>
      <c r="J35" s="34">
        <v>0</v>
      </c>
      <c r="K35" s="5">
        <v>0</v>
      </c>
      <c r="L35" s="35"/>
      <c r="M35" s="35"/>
      <c r="N35" s="5"/>
      <c r="O35" s="5"/>
      <c r="P35" s="5"/>
      <c r="Q35" s="5"/>
      <c r="R35" s="5">
        <v>60301</v>
      </c>
      <c r="S35" s="5"/>
      <c r="T35" s="5">
        <v>1</v>
      </c>
      <c r="U35" s="5"/>
      <c r="V35" s="5"/>
      <c r="W35" s="5"/>
      <c r="X35" s="5">
        <f>A36</f>
        <v>6030201</v>
      </c>
      <c r="Y35" s="34"/>
      <c r="Z35" s="29"/>
      <c r="AA35" s="29"/>
      <c r="AB35" s="29"/>
      <c r="AC35" s="10"/>
      <c r="AD35" s="10"/>
      <c r="AE35" s="10"/>
      <c r="AF35" s="5"/>
      <c r="AG35" s="5"/>
      <c r="AH35" s="5"/>
      <c r="AI35" s="5"/>
      <c r="AJ35" s="5"/>
      <c r="AK35" s="5"/>
      <c r="AL35" s="5"/>
    </row>
    <row r="36" s="15" customFormat="1" spans="1:38">
      <c r="A36" s="5">
        <v>6030201</v>
      </c>
      <c r="B36" s="31" t="s">
        <v>179</v>
      </c>
      <c r="C36" s="32" t="s">
        <v>180</v>
      </c>
      <c r="D36" s="33" t="str">
        <f t="shared" si="2"/>
        <v>Game|UnitIcon/item_coffee_cw3_xf_2</v>
      </c>
      <c r="E36" s="5">
        <v>10001</v>
      </c>
      <c r="F36" s="34"/>
      <c r="G36" s="34">
        <v>0</v>
      </c>
      <c r="H36" s="34"/>
      <c r="I36" s="34" t="s">
        <v>127</v>
      </c>
      <c r="J36" s="34">
        <v>0</v>
      </c>
      <c r="K36" s="5">
        <v>0</v>
      </c>
      <c r="L36" s="35"/>
      <c r="M36" s="35"/>
      <c r="N36" s="5"/>
      <c r="O36" s="5"/>
      <c r="P36" s="5"/>
      <c r="Q36" s="5"/>
      <c r="R36" s="5">
        <v>60301</v>
      </c>
      <c r="S36" s="5"/>
      <c r="T36" s="5">
        <v>2</v>
      </c>
      <c r="U36" s="5"/>
      <c r="V36" s="5"/>
      <c r="W36" s="5"/>
      <c r="X36" s="5">
        <f t="shared" ref="X36:X41" si="3">A37</f>
        <v>6030301</v>
      </c>
      <c r="Y36" s="34"/>
      <c r="Z36" s="29"/>
      <c r="AA36" s="29"/>
      <c r="AB36" s="29"/>
      <c r="AC36" s="10"/>
      <c r="AD36" s="10"/>
      <c r="AE36" s="10"/>
      <c r="AF36" s="5"/>
      <c r="AG36" s="5"/>
      <c r="AH36" s="5"/>
      <c r="AI36" s="5"/>
      <c r="AJ36" s="5"/>
      <c r="AK36" s="5"/>
      <c r="AL36" s="5"/>
    </row>
    <row r="37" s="15" customFormat="1" spans="1:38">
      <c r="A37" s="5">
        <v>6030301</v>
      </c>
      <c r="B37" s="31" t="s">
        <v>181</v>
      </c>
      <c r="C37" s="32" t="s">
        <v>182</v>
      </c>
      <c r="D37" s="33" t="str">
        <f t="shared" si="2"/>
        <v>Game|UnitIcon/item_coffee_cw3_xf_3</v>
      </c>
      <c r="E37" s="5">
        <v>10001</v>
      </c>
      <c r="F37" s="34"/>
      <c r="G37" s="34">
        <v>0</v>
      </c>
      <c r="H37" s="34"/>
      <c r="I37" s="34" t="s">
        <v>127</v>
      </c>
      <c r="J37" s="34">
        <v>0</v>
      </c>
      <c r="K37" s="5">
        <v>0</v>
      </c>
      <c r="L37" s="35"/>
      <c r="M37" s="35"/>
      <c r="N37" s="5"/>
      <c r="O37" s="5"/>
      <c r="P37" s="5"/>
      <c r="Q37" s="5"/>
      <c r="R37" s="5">
        <v>60301</v>
      </c>
      <c r="S37" s="5"/>
      <c r="T37" s="5">
        <v>3</v>
      </c>
      <c r="U37" s="5"/>
      <c r="V37" s="5"/>
      <c r="W37" s="5"/>
      <c r="X37" s="5">
        <f t="shared" si="3"/>
        <v>6030401</v>
      </c>
      <c r="Y37" s="34"/>
      <c r="Z37" s="29"/>
      <c r="AA37" s="29"/>
      <c r="AB37" s="29"/>
      <c r="AC37" s="10"/>
      <c r="AD37" s="10"/>
      <c r="AE37" s="10"/>
      <c r="AF37" s="5"/>
      <c r="AG37" s="5"/>
      <c r="AH37" s="5"/>
      <c r="AI37" s="5"/>
      <c r="AJ37" s="5"/>
      <c r="AK37" s="5"/>
      <c r="AL37" s="5"/>
    </row>
    <row r="38" s="15" customFormat="1" spans="1:38">
      <c r="A38" s="5">
        <v>6030401</v>
      </c>
      <c r="B38" s="31" t="s">
        <v>183</v>
      </c>
      <c r="C38" s="32" t="s">
        <v>184</v>
      </c>
      <c r="D38" s="33" t="str">
        <f t="shared" si="2"/>
        <v>Game|UnitIcon/item_coffee_cw3_xf_4</v>
      </c>
      <c r="E38" s="5">
        <v>10001</v>
      </c>
      <c r="F38" s="34"/>
      <c r="G38" s="34">
        <v>0</v>
      </c>
      <c r="H38" s="34"/>
      <c r="I38" s="34" t="s">
        <v>127</v>
      </c>
      <c r="J38" s="34">
        <v>0</v>
      </c>
      <c r="K38" s="5">
        <v>0</v>
      </c>
      <c r="L38" s="35"/>
      <c r="M38" s="35"/>
      <c r="N38" s="5"/>
      <c r="O38" s="5"/>
      <c r="P38" s="5"/>
      <c r="Q38" s="5"/>
      <c r="R38" s="5">
        <v>60301</v>
      </c>
      <c r="S38" s="5"/>
      <c r="T38" s="5">
        <v>4</v>
      </c>
      <c r="U38" s="5"/>
      <c r="V38" s="5"/>
      <c r="W38" s="5"/>
      <c r="X38" s="5">
        <f t="shared" si="3"/>
        <v>6030501</v>
      </c>
      <c r="Y38" s="34"/>
      <c r="Z38" s="29"/>
      <c r="AA38" s="29"/>
      <c r="AB38" s="29"/>
      <c r="AC38" s="10"/>
      <c r="AD38" s="10"/>
      <c r="AE38" s="10"/>
      <c r="AF38" s="5"/>
      <c r="AG38" s="5"/>
      <c r="AH38" s="5"/>
      <c r="AI38" s="5"/>
      <c r="AJ38" s="5"/>
      <c r="AK38" s="5"/>
      <c r="AL38" s="5"/>
    </row>
    <row r="39" s="15" customFormat="1" spans="1:38">
      <c r="A39" s="5">
        <v>6030501</v>
      </c>
      <c r="B39" s="31" t="s">
        <v>185</v>
      </c>
      <c r="C39" s="32" t="s">
        <v>186</v>
      </c>
      <c r="D39" s="33" t="str">
        <f t="shared" si="2"/>
        <v>Game|UnitIcon/item_coffee_cw3_xf_5</v>
      </c>
      <c r="E39" s="5">
        <v>10001</v>
      </c>
      <c r="F39" s="34"/>
      <c r="G39" s="34">
        <v>0</v>
      </c>
      <c r="H39" s="34"/>
      <c r="I39" s="34" t="s">
        <v>127</v>
      </c>
      <c r="J39" s="34">
        <v>0</v>
      </c>
      <c r="K39" s="5">
        <v>0</v>
      </c>
      <c r="L39" s="35"/>
      <c r="M39" s="35"/>
      <c r="N39" s="5"/>
      <c r="O39" s="5"/>
      <c r="P39" s="5"/>
      <c r="Q39" s="5"/>
      <c r="R39" s="5">
        <v>60301</v>
      </c>
      <c r="S39" s="5"/>
      <c r="T39" s="5">
        <v>5</v>
      </c>
      <c r="U39" s="5"/>
      <c r="V39" s="5"/>
      <c r="W39" s="5"/>
      <c r="X39" s="5">
        <f t="shared" si="3"/>
        <v>6030601</v>
      </c>
      <c r="Y39" s="34"/>
      <c r="Z39" s="29"/>
      <c r="AA39" s="29"/>
      <c r="AB39" s="29" t="s">
        <v>187</v>
      </c>
      <c r="AC39" s="10"/>
      <c r="AD39" s="10"/>
      <c r="AE39" s="10"/>
      <c r="AF39" s="5"/>
      <c r="AG39" s="5"/>
      <c r="AH39" s="5"/>
      <c r="AI39" s="5"/>
      <c r="AJ39" s="5"/>
      <c r="AK39" s="5"/>
      <c r="AL39" s="5"/>
    </row>
    <row r="40" s="15" customFormat="1" spans="1:38">
      <c r="A40" s="5">
        <v>6030601</v>
      </c>
      <c r="B40" s="31" t="s">
        <v>188</v>
      </c>
      <c r="C40" s="32" t="s">
        <v>189</v>
      </c>
      <c r="D40" s="33" t="str">
        <f t="shared" si="2"/>
        <v>Game|UnitIcon/item_coffee_cw3_xf_6</v>
      </c>
      <c r="E40" s="5">
        <v>10001</v>
      </c>
      <c r="F40" s="34"/>
      <c r="G40" s="34">
        <v>0</v>
      </c>
      <c r="H40" s="34"/>
      <c r="I40" s="34" t="s">
        <v>127</v>
      </c>
      <c r="J40" s="34">
        <v>0</v>
      </c>
      <c r="K40" s="5">
        <v>0</v>
      </c>
      <c r="L40" s="35"/>
      <c r="M40" s="35"/>
      <c r="N40" s="5"/>
      <c r="O40" s="5"/>
      <c r="P40" s="5"/>
      <c r="Q40" s="5"/>
      <c r="R40" s="5">
        <v>60301</v>
      </c>
      <c r="S40" s="5"/>
      <c r="T40" s="5">
        <v>6</v>
      </c>
      <c r="U40" s="5"/>
      <c r="V40" s="5"/>
      <c r="W40" s="5"/>
      <c r="X40" s="5">
        <f t="shared" si="3"/>
        <v>6030701</v>
      </c>
      <c r="Y40" s="34"/>
      <c r="Z40" s="29"/>
      <c r="AA40" s="29"/>
      <c r="AB40" s="29" t="s">
        <v>190</v>
      </c>
      <c r="AC40" s="10"/>
      <c r="AD40" s="10"/>
      <c r="AE40" s="10"/>
      <c r="AF40" s="5"/>
      <c r="AG40" s="5"/>
      <c r="AH40" s="5"/>
      <c r="AI40" s="5"/>
      <c r="AJ40" s="5"/>
      <c r="AK40" s="5"/>
      <c r="AL40" s="5"/>
    </row>
    <row r="41" s="15" customFormat="1" spans="1:38">
      <c r="A41" s="5">
        <v>6030701</v>
      </c>
      <c r="B41" s="31" t="s">
        <v>191</v>
      </c>
      <c r="C41" s="32" t="s">
        <v>192</v>
      </c>
      <c r="D41" s="33" t="str">
        <f t="shared" si="2"/>
        <v>Game|UnitIcon/item_coffee_cw3_xf_7</v>
      </c>
      <c r="E41" s="5">
        <v>10001</v>
      </c>
      <c r="F41" s="34"/>
      <c r="G41" s="34">
        <v>0</v>
      </c>
      <c r="H41" s="34"/>
      <c r="I41" s="34" t="s">
        <v>127</v>
      </c>
      <c r="J41" s="34">
        <v>0</v>
      </c>
      <c r="K41" s="5">
        <v>0</v>
      </c>
      <c r="L41" s="35"/>
      <c r="M41" s="35"/>
      <c r="N41" s="5"/>
      <c r="O41" s="5"/>
      <c r="P41" s="5"/>
      <c r="Q41" s="5"/>
      <c r="R41" s="5">
        <v>60301</v>
      </c>
      <c r="S41" s="5"/>
      <c r="T41" s="5">
        <v>7</v>
      </c>
      <c r="U41" s="5"/>
      <c r="V41" s="5"/>
      <c r="W41" s="5"/>
      <c r="X41" s="5">
        <f t="shared" si="3"/>
        <v>6030801</v>
      </c>
      <c r="Y41" s="34"/>
      <c r="Z41" s="29"/>
      <c r="AA41" s="29"/>
      <c r="AB41" s="29" t="s">
        <v>193</v>
      </c>
      <c r="AC41" s="10"/>
      <c r="AD41" s="10"/>
      <c r="AE41" s="10"/>
      <c r="AF41" s="5"/>
      <c r="AG41" s="5"/>
      <c r="AH41" s="5"/>
      <c r="AI41" s="5"/>
      <c r="AJ41" s="5"/>
      <c r="AK41" s="5"/>
      <c r="AL41" s="5"/>
    </row>
    <row r="42" s="15" customFormat="1" spans="1:38">
      <c r="A42" s="5">
        <v>6030801</v>
      </c>
      <c r="B42" s="31" t="s">
        <v>194</v>
      </c>
      <c r="C42" s="32" t="s">
        <v>195</v>
      </c>
      <c r="D42" s="33" t="str">
        <f t="shared" si="2"/>
        <v>Game|UnitIcon/item_coffee_cw3_xf_8</v>
      </c>
      <c r="E42" s="5">
        <v>8</v>
      </c>
      <c r="F42" s="34">
        <v>1</v>
      </c>
      <c r="G42" s="34">
        <v>0</v>
      </c>
      <c r="H42" s="34"/>
      <c r="I42" s="34" t="s">
        <v>118</v>
      </c>
      <c r="J42" s="34">
        <v>0</v>
      </c>
      <c r="K42" s="5">
        <v>0</v>
      </c>
      <c r="L42" s="35"/>
      <c r="M42" s="35"/>
      <c r="N42" s="5"/>
      <c r="O42" s="5">
        <v>3</v>
      </c>
      <c r="P42" s="5"/>
      <c r="Q42" s="5"/>
      <c r="R42" s="5">
        <v>60301</v>
      </c>
      <c r="S42" s="5"/>
      <c r="T42" s="5">
        <v>8</v>
      </c>
      <c r="U42" s="5"/>
      <c r="V42" s="5"/>
      <c r="W42" s="5"/>
      <c r="X42" s="5"/>
      <c r="Y42" s="34"/>
      <c r="Z42" s="29"/>
      <c r="AA42" s="29"/>
      <c r="AB42" s="29" t="s">
        <v>196</v>
      </c>
      <c r="AC42" s="10" t="s">
        <v>197</v>
      </c>
      <c r="AD42" s="10"/>
      <c r="AE42" s="10"/>
      <c r="AF42" s="5"/>
      <c r="AG42" s="5"/>
      <c r="AH42" s="5"/>
      <c r="AI42" s="5"/>
      <c r="AJ42" s="5"/>
      <c r="AK42" s="5"/>
      <c r="AL42" s="5"/>
    </row>
    <row r="43" s="15" customFormat="1" spans="1:38">
      <c r="A43" s="7"/>
      <c r="B43" s="37"/>
      <c r="C43" s="7"/>
      <c r="D43" s="3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="15" customFormat="1" spans="1:38">
      <c r="A44" s="7"/>
      <c r="B44" s="37"/>
      <c r="C44" s="7"/>
      <c r="D44" s="3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="15" customFormat="1" spans="1:38">
      <c r="A45" s="7"/>
      <c r="B45" s="37"/>
      <c r="C45" s="7"/>
      <c r="D45" s="3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="15" customFormat="1" spans="1:38">
      <c r="A46" s="7"/>
      <c r="B46" s="37"/>
      <c r="C46" s="7"/>
      <c r="D46" s="3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="15" customFormat="1" spans="1:38">
      <c r="A47" s="7"/>
      <c r="B47" s="37"/>
      <c r="C47" s="7"/>
      <c r="D47" s="3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="15" customFormat="1" spans="1:38">
      <c r="A48" s="7"/>
      <c r="B48" s="37"/>
      <c r="C48" s="7"/>
      <c r="D48" s="3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="15" customFormat="1" spans="1:26">
      <c r="A49" s="7"/>
      <c r="B49" s="37"/>
      <c r="C49" s="7"/>
      <c r="D49" s="3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="15" customFormat="1" spans="1:26">
      <c r="A50" s="7"/>
      <c r="B50" s="37"/>
      <c r="C50" s="7"/>
      <c r="D50" s="3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="15" customFormat="1" spans="1:26">
      <c r="A51" s="7"/>
      <c r="B51" s="37"/>
      <c r="C51" s="7"/>
      <c r="D51" s="3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="15" customFormat="1" spans="1:26">
      <c r="A52" s="7"/>
      <c r="B52" s="37"/>
      <c r="C52" s="7"/>
      <c r="D52" s="3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="15" customFormat="1" spans="1:26">
      <c r="A53" s="7"/>
      <c r="B53" s="37"/>
      <c r="C53" s="7"/>
      <c r="D53" s="3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="15" customFormat="1" spans="1:26">
      <c r="A54" s="7"/>
      <c r="B54" s="37"/>
      <c r="C54" s="7"/>
      <c r="D54" s="3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="15" customFormat="1" spans="1:26">
      <c r="A55" s="7"/>
      <c r="B55" s="37"/>
      <c r="C55" s="7"/>
      <c r="D55" s="3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="15" customFormat="1" spans="1:26">
      <c r="A56" s="7"/>
      <c r="B56" s="37"/>
      <c r="C56" s="7"/>
      <c r="D56" s="3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="15" customFormat="1" spans="1:26">
      <c r="A57" s="7"/>
      <c r="B57" s="37"/>
      <c r="C57" s="7"/>
      <c r="D57" s="3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="15" customFormat="1" spans="1:26">
      <c r="A58" s="7"/>
      <c r="B58" s="37"/>
      <c r="C58" s="7"/>
      <c r="D58" s="3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="15" customFormat="1" spans="1:26">
      <c r="A59" s="7"/>
      <c r="B59" s="37"/>
      <c r="C59" s="7"/>
      <c r="D59" s="3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="15" customFormat="1" spans="1:26">
      <c r="A60" s="7"/>
      <c r="B60" s="37"/>
      <c r="C60" s="7"/>
      <c r="D60" s="3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="15" customFormat="1" spans="1:26">
      <c r="A61" s="7"/>
      <c r="B61" s="37"/>
      <c r="C61" s="7"/>
      <c r="D61" s="3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="15" customFormat="1" spans="1:26">
      <c r="A62" s="7"/>
      <c r="B62" s="37"/>
      <c r="C62" s="7"/>
      <c r="D62" s="3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="15" customFormat="1" spans="1:26">
      <c r="A63" s="7"/>
      <c r="B63" s="37"/>
      <c r="C63" s="7"/>
      <c r="D63" s="3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="15" customFormat="1" spans="1:26">
      <c r="A64" s="7"/>
      <c r="B64" s="37"/>
      <c r="C64" s="7"/>
      <c r="D64" s="3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="15" customFormat="1" spans="1:26">
      <c r="A65" s="7"/>
      <c r="B65" s="37"/>
      <c r="C65" s="7"/>
      <c r="D65" s="3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="15" customFormat="1" spans="1:26">
      <c r="A66" s="7"/>
      <c r="B66" s="37"/>
      <c r="C66" s="7"/>
      <c r="D66" s="3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="16" customFormat="1" spans="1:26">
      <c r="A67" s="7"/>
      <c r="B67" s="38"/>
      <c r="C67" s="39"/>
      <c r="D67" s="38"/>
      <c r="E67" s="39"/>
      <c r="F67" s="39"/>
      <c r="G67" s="39"/>
      <c r="H67" s="39"/>
      <c r="I67" s="39"/>
      <c r="J67" s="7"/>
      <c r="K67" s="7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s="15" customFormat="1" spans="1:26">
      <c r="A68" s="7"/>
      <c r="B68" s="37"/>
      <c r="C68" s="7"/>
      <c r="D68" s="3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="15" customFormat="1" spans="1:26">
      <c r="A69" s="7"/>
      <c r="B69" s="37"/>
      <c r="C69" s="7"/>
      <c r="D69" s="3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="15" customFormat="1" spans="1:26">
      <c r="A70" s="7"/>
      <c r="B70" s="37"/>
      <c r="C70" s="7"/>
      <c r="D70" s="3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="15" customFormat="1" spans="1:26">
      <c r="A71" s="7"/>
      <c r="B71" s="37"/>
      <c r="C71" s="7"/>
      <c r="D71" s="3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="15" customFormat="1" spans="1:26">
      <c r="A72" s="7"/>
      <c r="B72" s="37"/>
      <c r="C72" s="7"/>
      <c r="D72" s="3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="15" customFormat="1" spans="1:26">
      <c r="A73" s="7"/>
      <c r="B73" s="37"/>
      <c r="C73" s="7"/>
      <c r="D73" s="3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="15" customFormat="1" spans="1:26">
      <c r="A74" s="7"/>
      <c r="B74" s="37"/>
      <c r="C74" s="7"/>
      <c r="D74" s="3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="15" customFormat="1" spans="1:26">
      <c r="A75" s="7"/>
      <c r="B75" s="37"/>
      <c r="C75" s="7"/>
      <c r="D75" s="3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="15" customFormat="1" spans="1:26">
      <c r="A76" s="7"/>
      <c r="B76" s="37"/>
      <c r="C76" s="7"/>
      <c r="D76" s="3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="15" customFormat="1" spans="1:26">
      <c r="A77" s="7"/>
      <c r="B77" s="37"/>
      <c r="C77" s="7"/>
      <c r="D77" s="3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="15" customFormat="1" spans="1:26">
      <c r="A78" s="7"/>
      <c r="B78" s="37"/>
      <c r="C78" s="7"/>
      <c r="D78" s="3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="15" customFormat="1" spans="1:26">
      <c r="A79" s="7"/>
      <c r="B79" s="37"/>
      <c r="C79" s="7"/>
      <c r="D79" s="3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="16" customFormat="1" spans="1:26">
      <c r="A80" s="7"/>
      <c r="B80" s="38"/>
      <c r="C80" s="39"/>
      <c r="D80" s="38"/>
      <c r="E80" s="39"/>
      <c r="F80" s="39"/>
      <c r="G80" s="39"/>
      <c r="H80" s="39"/>
      <c r="I80" s="39"/>
      <c r="J80" s="7"/>
      <c r="K80" s="7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s="16" customFormat="1" spans="1:26">
      <c r="A81" s="7"/>
      <c r="B81" s="38"/>
      <c r="C81" s="39"/>
      <c r="D81" s="38"/>
      <c r="E81" s="39"/>
      <c r="F81" s="39"/>
      <c r="G81" s="39"/>
      <c r="H81" s="39"/>
      <c r="I81" s="39"/>
      <c r="J81" s="7"/>
      <c r="K81" s="7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s="16" customFormat="1" spans="1:26">
      <c r="A82" s="7"/>
      <c r="B82" s="38"/>
      <c r="C82" s="39"/>
      <c r="D82" s="38"/>
      <c r="E82" s="39"/>
      <c r="F82" s="39"/>
      <c r="G82" s="39"/>
      <c r="H82" s="39"/>
      <c r="I82" s="39"/>
      <c r="J82" s="7"/>
      <c r="K82" s="7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s="16" customFormat="1" spans="1:26">
      <c r="A83" s="7"/>
      <c r="B83" s="38"/>
      <c r="C83" s="39"/>
      <c r="D83" s="38"/>
      <c r="E83" s="39"/>
      <c r="F83" s="39"/>
      <c r="G83" s="39"/>
      <c r="H83" s="39"/>
      <c r="I83" s="39"/>
      <c r="J83" s="7"/>
      <c r="K83" s="7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s="16" customFormat="1" spans="1:26">
      <c r="A84" s="7"/>
      <c r="B84" s="38"/>
      <c r="C84" s="39"/>
      <c r="D84" s="38"/>
      <c r="E84" s="39"/>
      <c r="F84" s="39"/>
      <c r="G84" s="39"/>
      <c r="H84" s="39"/>
      <c r="I84" s="39"/>
      <c r="J84" s="7"/>
      <c r="K84" s="7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s="16" customFormat="1" spans="1:26">
      <c r="A85" s="7"/>
      <c r="B85" s="38"/>
      <c r="C85" s="39"/>
      <c r="D85" s="38"/>
      <c r="E85" s="39"/>
      <c r="F85" s="39"/>
      <c r="G85" s="39"/>
      <c r="H85" s="39"/>
      <c r="I85" s="39"/>
      <c r="J85" s="7"/>
      <c r="K85" s="7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s="16" customFormat="1" spans="1:26">
      <c r="A86" s="7"/>
      <c r="B86" s="38"/>
      <c r="C86" s="39"/>
      <c r="D86" s="38"/>
      <c r="E86" s="39"/>
      <c r="F86" s="39"/>
      <c r="G86" s="39"/>
      <c r="H86" s="39"/>
      <c r="I86" s="39"/>
      <c r="J86" s="7"/>
      <c r="K86" s="7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s="15" customFormat="1" spans="1:26">
      <c r="A87" s="7"/>
      <c r="B87" s="37"/>
      <c r="C87" s="7"/>
      <c r="D87" s="3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="15" customFormat="1" spans="1:26">
      <c r="A88" s="7"/>
      <c r="B88" s="37"/>
      <c r="C88" s="7"/>
      <c r="D88" s="3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="15" customFormat="1" spans="1:26">
      <c r="A89" s="7"/>
      <c r="B89" s="37"/>
      <c r="C89" s="7"/>
      <c r="D89" s="3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="15" customFormat="1" spans="1:26">
      <c r="A90" s="7"/>
      <c r="B90" s="37"/>
      <c r="C90" s="7"/>
      <c r="D90" s="3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="15" customFormat="1" spans="1:26">
      <c r="A91" s="7"/>
      <c r="B91" s="37"/>
      <c r="C91" s="7"/>
      <c r="D91" s="3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="15" customFormat="1" spans="1:26">
      <c r="A92" s="7"/>
      <c r="B92" s="37"/>
      <c r="C92" s="7"/>
      <c r="D92" s="3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="15" customFormat="1" spans="1:26">
      <c r="A93" s="7"/>
      <c r="B93" s="37"/>
      <c r="C93" s="7"/>
      <c r="D93" s="3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="15" customFormat="1" spans="1:26">
      <c r="A94" s="7"/>
      <c r="B94" s="37"/>
      <c r="C94" s="7"/>
      <c r="D94" s="3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="15" customFormat="1" spans="1:26">
      <c r="A95" s="7"/>
      <c r="B95" s="37"/>
      <c r="C95" s="7"/>
      <c r="D95" s="3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="15" customFormat="1" spans="1:26">
      <c r="A96" s="7"/>
      <c r="B96" s="37"/>
      <c r="C96" s="7"/>
      <c r="D96" s="3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="15" customFormat="1" spans="1:26">
      <c r="A97" s="7"/>
      <c r="B97" s="37"/>
      <c r="C97" s="7"/>
      <c r="D97" s="3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="15" customFormat="1" spans="1:26">
      <c r="A98" s="7"/>
      <c r="B98" s="37"/>
      <c r="C98" s="7"/>
      <c r="D98" s="3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="15" customFormat="1" spans="1:26">
      <c r="A99" s="7"/>
      <c r="B99" s="37"/>
      <c r="C99" s="7"/>
      <c r="D99" s="3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="15" customFormat="1" spans="1:26">
      <c r="A100" s="7"/>
      <c r="B100" s="37"/>
      <c r="C100" s="7"/>
      <c r="D100" s="3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="15" customFormat="1" spans="1:26">
      <c r="A101" s="7"/>
      <c r="B101" s="37"/>
      <c r="C101" s="7"/>
      <c r="D101" s="3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="15" customFormat="1" spans="1:26">
      <c r="A102" s="7"/>
      <c r="B102" s="37"/>
      <c r="C102" s="7"/>
      <c r="D102" s="3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="15" customFormat="1" spans="1:26">
      <c r="A103" s="7"/>
      <c r="B103" s="37"/>
      <c r="C103" s="7"/>
      <c r="D103" s="3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="15" customFormat="1" spans="1:26">
      <c r="A104" s="7"/>
      <c r="B104" s="37"/>
      <c r="C104" s="7"/>
      <c r="D104" s="3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="15" customFormat="1" spans="1:26">
      <c r="A105" s="7"/>
      <c r="B105" s="37"/>
      <c r="C105" s="7"/>
      <c r="D105" s="3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="15" customFormat="1" spans="1:26">
      <c r="A106" s="7"/>
      <c r="B106" s="37"/>
      <c r="C106" s="7"/>
      <c r="D106" s="3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="15" customFormat="1" spans="1:26">
      <c r="A107" s="7"/>
      <c r="B107" s="37"/>
      <c r="C107" s="7"/>
      <c r="D107" s="3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="15" customFormat="1" spans="1:26">
      <c r="A108" s="7"/>
      <c r="B108" s="37"/>
      <c r="C108" s="7"/>
      <c r="D108" s="3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="15" customFormat="1" spans="1:26">
      <c r="A109" s="7"/>
      <c r="B109" s="37"/>
      <c r="C109" s="7"/>
      <c r="D109" s="3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="15" customFormat="1" spans="1:26">
      <c r="A110" s="7"/>
      <c r="B110" s="37"/>
      <c r="C110" s="7"/>
      <c r="D110" s="3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="15" customFormat="1" spans="1:26">
      <c r="A111" s="7"/>
      <c r="B111" s="37"/>
      <c r="C111" s="7"/>
      <c r="D111" s="3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="15" customFormat="1" spans="1:26">
      <c r="A112" s="7"/>
      <c r="B112" s="37"/>
      <c r="C112" s="7"/>
      <c r="D112" s="3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="15" customFormat="1" spans="1:26">
      <c r="A113" s="7"/>
      <c r="B113" s="37"/>
      <c r="C113" s="7"/>
      <c r="D113" s="3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="15" customFormat="1" spans="1:26">
      <c r="A114" s="7"/>
      <c r="B114" s="37"/>
      <c r="C114" s="7"/>
      <c r="D114" s="3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="15" customFormat="1" spans="1:26">
      <c r="A115" s="7"/>
      <c r="B115" s="37"/>
      <c r="C115" s="7"/>
      <c r="D115" s="3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="15" customFormat="1" spans="1:26">
      <c r="A116" s="7"/>
      <c r="B116" s="37"/>
      <c r="C116" s="7"/>
      <c r="D116" s="3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="15" customFormat="1" spans="1:26">
      <c r="A117" s="7"/>
      <c r="B117" s="37"/>
      <c r="C117" s="7"/>
      <c r="D117" s="3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="16" customFormat="1" spans="1:26">
      <c r="A118" s="7"/>
      <c r="B118" s="38"/>
      <c r="C118" s="39"/>
      <c r="D118" s="38"/>
      <c r="E118" s="39"/>
      <c r="F118" s="39"/>
      <c r="G118" s="39"/>
      <c r="H118" s="39"/>
      <c r="I118" s="39"/>
      <c r="J118" s="7"/>
      <c r="K118" s="7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s="15" customFormat="1" spans="1:26">
      <c r="A119" s="7"/>
      <c r="B119" s="37"/>
      <c r="C119" s="7"/>
      <c r="D119" s="3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="15" customFormat="1" spans="1:26">
      <c r="A120" s="7"/>
      <c r="B120" s="37"/>
      <c r="C120" s="7"/>
      <c r="D120" s="3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="15" customFormat="1" spans="1:26">
      <c r="A121" s="7"/>
      <c r="B121" s="37"/>
      <c r="C121" s="7"/>
      <c r="D121" s="3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="15" customFormat="1" spans="1:26">
      <c r="A122" s="7"/>
      <c r="B122" s="37"/>
      <c r="C122" s="7"/>
      <c r="D122" s="3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="15" customFormat="1" spans="1:26">
      <c r="A123" s="7"/>
      <c r="B123" s="37"/>
      <c r="C123" s="7"/>
      <c r="D123" s="3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="15" customFormat="1" spans="1:26">
      <c r="A124" s="7"/>
      <c r="B124" s="37"/>
      <c r="C124" s="7"/>
      <c r="D124" s="3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="15" customFormat="1" spans="1:26">
      <c r="A125" s="7"/>
      <c r="B125" s="37"/>
      <c r="C125" s="7"/>
      <c r="D125" s="3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="15" customFormat="1" spans="1:26">
      <c r="A126" s="7"/>
      <c r="B126" s="37"/>
      <c r="C126" s="7"/>
      <c r="D126" s="3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="15" customFormat="1" spans="1:26">
      <c r="A127" s="7"/>
      <c r="B127" s="37"/>
      <c r="C127" s="7"/>
      <c r="D127" s="3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="15" customFormat="1" spans="1:26">
      <c r="A128" s="7"/>
      <c r="B128" s="37"/>
      <c r="C128" s="7"/>
      <c r="D128" s="3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="15" customFormat="1" spans="1:26">
      <c r="A129" s="7"/>
      <c r="B129" s="37"/>
      <c r="C129" s="7"/>
      <c r="D129" s="3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="15" customFormat="1" spans="1:26">
      <c r="A130" s="7"/>
      <c r="B130" s="37"/>
      <c r="C130" s="7"/>
      <c r="D130" s="3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="15" customFormat="1" spans="1:26">
      <c r="A131" s="7"/>
      <c r="B131" s="37"/>
      <c r="C131" s="7"/>
      <c r="D131" s="3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="15" customFormat="1" spans="1:26">
      <c r="A132" s="7"/>
      <c r="B132" s="37"/>
      <c r="C132" s="7"/>
      <c r="D132" s="3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="15" customFormat="1" spans="1:26">
      <c r="A133" s="7"/>
      <c r="B133" s="37"/>
      <c r="C133" s="7"/>
      <c r="D133" s="3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="15" customFormat="1" spans="1:26">
      <c r="A134" s="7"/>
      <c r="B134" s="37"/>
      <c r="C134" s="7"/>
      <c r="D134" s="3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="15" customFormat="1" spans="1:26">
      <c r="A135" s="7"/>
      <c r="B135" s="37"/>
      <c r="C135" s="7"/>
      <c r="D135" s="3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="15" customFormat="1" spans="1:26">
      <c r="A136" s="7"/>
      <c r="B136" s="37"/>
      <c r="C136" s="7"/>
      <c r="D136" s="3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="15" customFormat="1" spans="1:26">
      <c r="A137" s="7"/>
      <c r="B137" s="37"/>
      <c r="C137" s="7"/>
      <c r="D137" s="3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="15" customFormat="1" spans="1:26">
      <c r="A138" s="7"/>
      <c r="B138" s="37"/>
      <c r="C138" s="7"/>
      <c r="D138" s="3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="15" customFormat="1" spans="1:26">
      <c r="A139" s="7"/>
      <c r="B139" s="37"/>
      <c r="C139" s="7"/>
      <c r="D139" s="3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="15" customFormat="1" spans="1:26">
      <c r="A140" s="7"/>
      <c r="B140" s="37"/>
      <c r="C140" s="7"/>
      <c r="D140" s="3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="15" customFormat="1" spans="1:26">
      <c r="A141" s="7"/>
      <c r="B141" s="37"/>
      <c r="C141" s="7"/>
      <c r="D141" s="3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="15" customFormat="1" spans="1:26">
      <c r="A142" s="7"/>
      <c r="B142" s="37"/>
      <c r="C142" s="7"/>
      <c r="D142" s="3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="15" customFormat="1" spans="1:26">
      <c r="A143" s="7"/>
      <c r="B143" s="37"/>
      <c r="C143" s="7"/>
      <c r="D143" s="3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="15" customFormat="1" spans="1:26">
      <c r="A144" s="7"/>
      <c r="B144" s="37"/>
      <c r="C144" s="7"/>
      <c r="D144" s="3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="15" customFormat="1" spans="1:26">
      <c r="A145" s="7"/>
      <c r="B145" s="37"/>
      <c r="C145" s="7"/>
      <c r="D145" s="3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="15" customFormat="1" spans="1:26">
      <c r="A146" s="7"/>
      <c r="B146" s="37"/>
      <c r="C146" s="7"/>
      <c r="D146" s="3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="15" customFormat="1" spans="1:26">
      <c r="A147" s="7"/>
      <c r="B147" s="37"/>
      <c r="C147" s="7"/>
      <c r="D147" s="3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="15" customFormat="1" spans="1:26">
      <c r="A148" s="7"/>
      <c r="B148" s="37"/>
      <c r="C148" s="7"/>
      <c r="D148" s="3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="15" customFormat="1" spans="1:26">
      <c r="A149" s="7"/>
      <c r="B149" s="37"/>
      <c r="C149" s="7"/>
      <c r="D149" s="3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="15" customFormat="1" spans="1:26">
      <c r="A150" s="7"/>
      <c r="B150" s="37"/>
      <c r="C150" s="7"/>
      <c r="D150" s="3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="15" customFormat="1" spans="1:26">
      <c r="A151" s="7"/>
      <c r="B151" s="37"/>
      <c r="C151" s="7"/>
      <c r="D151" s="3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="15" customFormat="1" spans="1:26">
      <c r="A152" s="7"/>
      <c r="B152" s="37"/>
      <c r="C152" s="7"/>
      <c r="D152" s="3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="15" customFormat="1" spans="1:26">
      <c r="A153" s="7"/>
      <c r="B153" s="37"/>
      <c r="C153" s="7"/>
      <c r="D153" s="3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="15" customFormat="1" spans="1:26">
      <c r="A154" s="7"/>
      <c r="B154" s="37"/>
      <c r="C154" s="7"/>
      <c r="D154" s="3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="15" customFormat="1" spans="1:26">
      <c r="A155" s="7"/>
      <c r="B155" s="37"/>
      <c r="C155" s="7"/>
      <c r="D155" s="3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="15" customFormat="1" spans="1:26">
      <c r="A156" s="7"/>
      <c r="B156" s="37"/>
      <c r="C156" s="7"/>
      <c r="D156" s="3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="15" customFormat="1" spans="1:26">
      <c r="A157" s="7"/>
      <c r="B157" s="37"/>
      <c r="C157" s="7"/>
      <c r="D157" s="3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="15" customFormat="1" spans="1:26">
      <c r="A158" s="7"/>
      <c r="B158" s="37"/>
      <c r="C158" s="7"/>
      <c r="D158" s="3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="15" customFormat="1" spans="1:26">
      <c r="A159" s="7"/>
      <c r="B159" s="37"/>
      <c r="C159" s="7"/>
      <c r="D159" s="3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="15" customFormat="1" spans="1:26">
      <c r="A160" s="7"/>
      <c r="B160" s="37"/>
      <c r="C160" s="7"/>
      <c r="D160" s="3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="15" customFormat="1" spans="1:26">
      <c r="A161" s="7"/>
      <c r="B161" s="37"/>
      <c r="C161" s="7"/>
      <c r="D161" s="3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="15" customFormat="1" spans="1:26">
      <c r="A162" s="7"/>
      <c r="B162" s="37"/>
      <c r="C162" s="7"/>
      <c r="D162" s="3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="15" customFormat="1" spans="1:26">
      <c r="A163" s="7"/>
      <c r="B163" s="37"/>
      <c r="C163" s="7"/>
      <c r="D163" s="3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="15" customFormat="1" spans="1:26">
      <c r="A164" s="7"/>
      <c r="B164" s="37"/>
      <c r="C164" s="7"/>
      <c r="D164" s="3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="15" customFormat="1" spans="1:26">
      <c r="A165" s="7"/>
      <c r="B165" s="37"/>
      <c r="C165" s="7"/>
      <c r="D165" s="3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="15" customFormat="1" spans="1:26">
      <c r="A166" s="7"/>
      <c r="B166" s="37"/>
      <c r="C166" s="7"/>
      <c r="D166" s="3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="15" customFormat="1" spans="1:26">
      <c r="A167" s="7"/>
      <c r="B167" s="37"/>
      <c r="C167" s="7"/>
      <c r="D167" s="3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="15" customFormat="1" spans="1:26">
      <c r="A168" s="7"/>
      <c r="B168" s="37"/>
      <c r="C168" s="7"/>
      <c r="D168" s="3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="15" customFormat="1" spans="1:26">
      <c r="A169" s="7"/>
      <c r="B169" s="37"/>
      <c r="C169" s="7"/>
      <c r="D169" s="3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="15" customFormat="1" spans="1:26">
      <c r="A170" s="7"/>
      <c r="B170" s="37"/>
      <c r="C170" s="7"/>
      <c r="D170" s="3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="15" customFormat="1" spans="1:26">
      <c r="A171" s="7"/>
      <c r="B171" s="37"/>
      <c r="C171" s="7"/>
      <c r="D171" s="3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="15" customFormat="1" spans="1:26">
      <c r="A172" s="7"/>
      <c r="B172" s="37"/>
      <c r="C172" s="7"/>
      <c r="D172" s="3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="15" customFormat="1" spans="1:26">
      <c r="A173" s="7"/>
      <c r="B173" s="37"/>
      <c r="C173" s="7"/>
      <c r="D173" s="3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="15" customFormat="1" spans="1:26">
      <c r="A174" s="7"/>
      <c r="B174" s="37"/>
      <c r="C174" s="7"/>
      <c r="D174" s="3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="15" customFormat="1" spans="1:26">
      <c r="A175" s="7"/>
      <c r="B175" s="37"/>
      <c r="C175" s="7"/>
      <c r="D175" s="3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="15" customFormat="1" spans="1:26">
      <c r="A176" s="7"/>
      <c r="B176" s="37"/>
      <c r="C176" s="7"/>
      <c r="D176" s="3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="15" customFormat="1" spans="1:26">
      <c r="A177" s="7"/>
      <c r="B177" s="37"/>
      <c r="C177" s="7"/>
      <c r="D177" s="3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="15" customFormat="1" spans="1:26">
      <c r="A178" s="7"/>
      <c r="B178" s="37"/>
      <c r="C178" s="7"/>
      <c r="D178" s="3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="15" customFormat="1" spans="1:26">
      <c r="A179" s="7"/>
      <c r="B179" s="37"/>
      <c r="C179" s="7"/>
      <c r="D179" s="3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="15" customFormat="1" spans="1:26">
      <c r="A180" s="7"/>
      <c r="B180" s="37"/>
      <c r="C180" s="7"/>
      <c r="D180" s="3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="15" customFormat="1" spans="1:26">
      <c r="A181" s="7"/>
      <c r="B181" s="37"/>
      <c r="C181" s="7"/>
      <c r="D181" s="3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="15" customFormat="1" spans="1:26">
      <c r="A182" s="7"/>
      <c r="B182" s="37"/>
      <c r="C182" s="7"/>
      <c r="D182" s="3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="15" customFormat="1" spans="1:26">
      <c r="A183" s="7"/>
      <c r="B183" s="37"/>
      <c r="C183" s="7"/>
      <c r="D183" s="3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="15" customFormat="1" spans="1:26">
      <c r="A184" s="7"/>
      <c r="B184" s="37"/>
      <c r="C184" s="7"/>
      <c r="D184" s="3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="15" customFormat="1" spans="1:26">
      <c r="A185" s="7"/>
      <c r="B185" s="37"/>
      <c r="C185" s="7"/>
      <c r="D185" s="3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="15" customFormat="1" spans="1:26">
      <c r="A186" s="7"/>
      <c r="B186" s="37"/>
      <c r="C186" s="7"/>
      <c r="D186" s="3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="15" customFormat="1" spans="1:26">
      <c r="A187" s="7"/>
      <c r="B187" s="37"/>
      <c r="C187" s="7"/>
      <c r="D187" s="3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="15" customFormat="1" spans="1:26">
      <c r="A188" s="7"/>
      <c r="B188" s="37"/>
      <c r="C188" s="7"/>
      <c r="D188" s="3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="15" customFormat="1" spans="1:26">
      <c r="A189" s="7"/>
      <c r="B189" s="37"/>
      <c r="C189" s="7"/>
      <c r="D189" s="3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="15" customFormat="1" spans="1:26">
      <c r="A190" s="7"/>
      <c r="B190" s="37"/>
      <c r="C190" s="7"/>
      <c r="D190" s="3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="15" customFormat="1" spans="1:26">
      <c r="A191" s="7"/>
      <c r="B191" s="37"/>
      <c r="C191" s="7"/>
      <c r="D191" s="3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="15" customFormat="1" spans="1:26">
      <c r="A192" s="7"/>
      <c r="B192" s="37"/>
      <c r="C192" s="7"/>
      <c r="D192" s="3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="15" customFormat="1" spans="1:26">
      <c r="A193" s="7"/>
      <c r="B193" s="37"/>
      <c r="C193" s="7"/>
      <c r="D193" s="3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="15" customFormat="1" spans="1:26">
      <c r="A194" s="7"/>
      <c r="B194" s="37"/>
      <c r="C194" s="7"/>
      <c r="D194" s="3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="15" customFormat="1" spans="1:26">
      <c r="A195" s="7"/>
      <c r="B195" s="37"/>
      <c r="C195" s="7"/>
      <c r="D195" s="3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3"/>
  <sheetViews>
    <sheetView workbookViewId="0">
      <selection activeCell="G24" sqref="G24"/>
    </sheetView>
  </sheetViews>
  <sheetFormatPr defaultColWidth="9" defaultRowHeight="13.5" outlineLevelCol="7"/>
  <cols>
    <col min="1" max="8" width="20.0916666666667" customWidth="1"/>
  </cols>
  <sheetData>
    <row r="1" spans="1:8">
      <c r="C1" t="s">
        <v>198</v>
      </c>
    </row>
    <row r="2" ht="15" spans="1:8">
      <c r="A2" s="1" t="s">
        <v>1</v>
      </c>
      <c r="B2" s="1" t="s">
        <v>199</v>
      </c>
      <c r="C2" s="1" t="s">
        <v>29</v>
      </c>
      <c r="D2" s="1" t="s">
        <v>200</v>
      </c>
      <c r="E2" s="1" t="s">
        <v>201</v>
      </c>
      <c r="F2" s="1" t="s">
        <v>202</v>
      </c>
      <c r="G2" s="1" t="s">
        <v>203</v>
      </c>
      <c r="H2" s="1" t="s">
        <v>204</v>
      </c>
    </row>
    <row r="3" ht="15" spans="1:8">
      <c r="A3" s="3" t="s">
        <v>10</v>
      </c>
      <c r="B3" s="3" t="s">
        <v>205</v>
      </c>
      <c r="C3" s="3" t="s">
        <v>67</v>
      </c>
      <c r="D3" s="3" t="s">
        <v>206</v>
      </c>
      <c r="E3" s="3" t="s">
        <v>207</v>
      </c>
      <c r="F3" s="3" t="s">
        <v>208</v>
      </c>
      <c r="G3" s="3" t="s">
        <v>209</v>
      </c>
      <c r="H3" s="3" t="s">
        <v>210</v>
      </c>
    </row>
    <row r="4" spans="1:8">
      <c r="A4" s="5">
        <v>1</v>
      </c>
      <c r="B4" s="5">
        <v>5020401</v>
      </c>
      <c r="C4" s="7">
        <v>1</v>
      </c>
      <c r="D4" s="7">
        <v>1</v>
      </c>
      <c r="E4" s="7">
        <v>-2.5</v>
      </c>
      <c r="F4" s="7">
        <v>-2</v>
      </c>
      <c r="G4" s="7">
        <v>0</v>
      </c>
      <c r="H4" s="7">
        <v>0</v>
      </c>
    </row>
    <row r="5" spans="1:8">
      <c r="A5" s="5">
        <v>2</v>
      </c>
      <c r="B5" s="5">
        <v>5020601</v>
      </c>
      <c r="C5" s="7">
        <v>1</v>
      </c>
      <c r="D5" s="7">
        <v>1</v>
      </c>
      <c r="E5" s="7">
        <v>2.5</v>
      </c>
      <c r="F5" s="7">
        <v>-1</v>
      </c>
      <c r="G5" s="7">
        <v>0</v>
      </c>
      <c r="H5" s="7">
        <v>1</v>
      </c>
    </row>
    <row r="6" spans="1:8">
      <c r="A6" s="5">
        <v>3</v>
      </c>
      <c r="B6" s="5">
        <v>5020701</v>
      </c>
      <c r="C6" s="7">
        <v>1</v>
      </c>
      <c r="D6" s="7">
        <v>1</v>
      </c>
      <c r="E6" s="7">
        <v>-2.5</v>
      </c>
      <c r="F6" s="7">
        <v>1.5</v>
      </c>
      <c r="G6" s="7">
        <v>0</v>
      </c>
      <c r="H6" s="7">
        <v>0</v>
      </c>
    </row>
    <row r="7" spans="1:8">
      <c r="A7" s="5">
        <v>4</v>
      </c>
      <c r="B7" s="5">
        <v>5020901</v>
      </c>
      <c r="C7" s="7">
        <v>1</v>
      </c>
      <c r="D7" s="7">
        <v>1</v>
      </c>
      <c r="E7" s="7">
        <v>0</v>
      </c>
      <c r="F7" s="7">
        <v>3</v>
      </c>
      <c r="G7" s="7">
        <v>2</v>
      </c>
      <c r="H7" s="7">
        <v>1</v>
      </c>
    </row>
    <row r="8" spans="1:8">
      <c r="A8" s="5">
        <v>5</v>
      </c>
      <c r="B8" s="5">
        <v>5021001</v>
      </c>
      <c r="C8" s="7">
        <v>1</v>
      </c>
      <c r="D8" s="7">
        <v>1</v>
      </c>
      <c r="E8" s="7">
        <v>0.5</v>
      </c>
      <c r="F8" s="7">
        <v>3</v>
      </c>
      <c r="G8" s="7">
        <v>3</v>
      </c>
      <c r="H8" s="7">
        <v>0</v>
      </c>
    </row>
    <row r="9" spans="1:8">
      <c r="A9" s="5">
        <v>6</v>
      </c>
      <c r="B9" s="5">
        <v>5021101</v>
      </c>
      <c r="C9" s="7">
        <v>1</v>
      </c>
      <c r="D9" s="7">
        <v>1</v>
      </c>
      <c r="E9" s="7">
        <v>-2</v>
      </c>
      <c r="F9" s="7">
        <v>3</v>
      </c>
      <c r="G9" s="7">
        <v>3</v>
      </c>
      <c r="H9" s="7">
        <v>1</v>
      </c>
    </row>
    <row r="10" spans="1:8">
      <c r="A10" s="5">
        <v>7</v>
      </c>
      <c r="B10" s="5">
        <v>5021201</v>
      </c>
      <c r="C10" s="7">
        <v>1</v>
      </c>
      <c r="D10" s="7">
        <v>1</v>
      </c>
      <c r="E10" s="7">
        <v>1</v>
      </c>
      <c r="F10" s="7">
        <v>3</v>
      </c>
      <c r="G10" s="7">
        <v>3</v>
      </c>
      <c r="H10" s="7">
        <v>0</v>
      </c>
    </row>
    <row r="11" spans="1:8">
      <c r="A11" s="5">
        <v>8</v>
      </c>
      <c r="B11" s="5">
        <v>5021301</v>
      </c>
      <c r="C11" s="7">
        <v>1</v>
      </c>
      <c r="D11" s="7">
        <v>1</v>
      </c>
      <c r="E11" s="7">
        <v>-0.5</v>
      </c>
      <c r="F11" s="7">
        <v>3</v>
      </c>
      <c r="G11" s="7">
        <v>1</v>
      </c>
      <c r="H11" s="7">
        <v>0</v>
      </c>
    </row>
    <row r="12" spans="1:8">
      <c r="A12" s="7"/>
      <c r="B12" s="7"/>
      <c r="C12" s="7"/>
      <c r="D12" s="7"/>
      <c r="E12" s="7"/>
      <c r="F12" s="7"/>
      <c r="G12" s="7"/>
      <c r="H12" s="7"/>
    </row>
    <row r="13" spans="1:8">
      <c r="A13" s="7"/>
      <c r="B13" s="7"/>
      <c r="C13" s="7"/>
      <c r="D13" s="7"/>
      <c r="E13" s="7"/>
      <c r="F13" s="7"/>
      <c r="G13" s="7"/>
      <c r="H13" s="7"/>
    </row>
    <row r="14" spans="1:8">
      <c r="A14" s="7"/>
      <c r="B14" s="7"/>
      <c r="C14" s="7"/>
      <c r="D14" s="7"/>
      <c r="E14" s="7"/>
      <c r="F14" s="7"/>
      <c r="G14" s="7"/>
      <c r="H14" s="7"/>
    </row>
    <row r="15" spans="1:8">
      <c r="A15" s="7"/>
      <c r="B15" s="7"/>
      <c r="C15" s="7"/>
      <c r="D15" s="7"/>
      <c r="E15" s="7"/>
      <c r="F15" s="7"/>
      <c r="G15" s="7"/>
      <c r="H15" s="7"/>
    </row>
    <row r="16" spans="1:8">
      <c r="A16" s="7"/>
      <c r="B16" s="7"/>
      <c r="C16" s="7"/>
      <c r="D16" s="7"/>
      <c r="E16" s="7"/>
      <c r="F16" s="7"/>
      <c r="G16" s="7"/>
      <c r="H16" s="7"/>
    </row>
    <row r="17" spans="1:8">
      <c r="A17" s="7"/>
      <c r="B17" s="7"/>
      <c r="C17" s="7"/>
      <c r="D17" s="7"/>
      <c r="E17" s="7"/>
      <c r="F17" s="7"/>
      <c r="G17" s="7"/>
      <c r="H17" s="7"/>
    </row>
    <row r="18" spans="1:8">
      <c r="A18" s="7"/>
      <c r="B18" s="7"/>
      <c r="C18" s="7"/>
      <c r="D18" s="7"/>
      <c r="E18" s="7"/>
      <c r="F18" s="7"/>
      <c r="G18" s="7"/>
      <c r="H18" s="7"/>
    </row>
    <row r="19" spans="1:8">
      <c r="A19" s="7"/>
      <c r="B19" s="7"/>
      <c r="C19" s="7"/>
      <c r="D19" s="7"/>
      <c r="E19" s="7"/>
      <c r="F19" s="7"/>
      <c r="G19" s="7"/>
      <c r="H19" s="7"/>
    </row>
    <row r="20" spans="1:8">
      <c r="A20" s="7"/>
      <c r="B20" s="7"/>
      <c r="C20" s="7"/>
      <c r="D20" s="7"/>
      <c r="E20" s="7"/>
      <c r="F20" s="7"/>
      <c r="G20" s="7"/>
      <c r="H20" s="7"/>
    </row>
    <row r="21" spans="1:8">
      <c r="A21" s="7"/>
      <c r="B21" s="7"/>
      <c r="C21" s="7"/>
      <c r="D21" s="7"/>
      <c r="E21" s="7"/>
      <c r="F21" s="7"/>
      <c r="G21" s="7"/>
      <c r="H21" s="7"/>
    </row>
    <row r="22" spans="1:8">
      <c r="A22" s="7"/>
      <c r="B22" s="7"/>
      <c r="C22" s="7"/>
      <c r="D22" s="7"/>
      <c r="E22" s="7"/>
      <c r="F22" s="7"/>
      <c r="G22" s="7"/>
      <c r="H22" s="7"/>
    </row>
    <row r="23" spans="1:8">
      <c r="A23" s="7"/>
      <c r="B23" s="7"/>
      <c r="C23" s="7"/>
      <c r="D23" s="7"/>
      <c r="E23" s="7"/>
      <c r="F23" s="7"/>
      <c r="G23" s="7"/>
      <c r="H23" s="7"/>
    </row>
    <row r="24" spans="1:8">
      <c r="A24" s="7"/>
      <c r="B24" s="7"/>
      <c r="C24" s="7"/>
      <c r="D24" s="7"/>
      <c r="E24" s="7"/>
      <c r="F24" s="7"/>
      <c r="G24" s="7"/>
      <c r="H24" s="7"/>
    </row>
    <row r="25" spans="1:8">
      <c r="A25" s="7"/>
      <c r="B25" s="7"/>
      <c r="C25" s="7"/>
      <c r="D25" s="7"/>
      <c r="E25" s="7"/>
      <c r="F25" s="7"/>
      <c r="G25" s="7"/>
      <c r="H25" s="7"/>
    </row>
    <row r="26" spans="1:8">
      <c r="A26" s="7"/>
      <c r="B26" s="7"/>
      <c r="C26" s="7"/>
      <c r="D26" s="7"/>
      <c r="E26" s="7"/>
      <c r="F26" s="7"/>
      <c r="G26" s="7"/>
      <c r="H26" s="7"/>
    </row>
    <row r="27" spans="1:8">
      <c r="A27" s="7"/>
      <c r="B27" s="7"/>
      <c r="C27" s="7"/>
      <c r="D27" s="7"/>
      <c r="E27" s="7"/>
      <c r="F27" s="7"/>
      <c r="G27" s="7"/>
      <c r="H27" s="7"/>
    </row>
    <row r="28" spans="1:8">
      <c r="A28" s="7"/>
      <c r="B28" s="7"/>
      <c r="C28" s="7"/>
      <c r="D28" s="7"/>
      <c r="E28" s="7"/>
      <c r="F28" s="7"/>
      <c r="G28" s="7"/>
      <c r="H28" s="7"/>
    </row>
    <row r="29" spans="1:8">
      <c r="A29" s="7"/>
      <c r="B29" s="7"/>
      <c r="C29" s="7"/>
      <c r="D29" s="7"/>
      <c r="E29" s="7"/>
      <c r="F29" s="7"/>
      <c r="G29" s="7"/>
      <c r="H29" s="7"/>
    </row>
    <row r="30" spans="1:8">
      <c r="A30" s="7"/>
      <c r="B30" s="7"/>
      <c r="C30" s="7"/>
      <c r="D30" s="7"/>
      <c r="E30" s="7"/>
      <c r="F30" s="7"/>
      <c r="G30" s="7"/>
      <c r="H30" s="7"/>
    </row>
    <row r="31" spans="1:8">
      <c r="A31" s="7"/>
      <c r="B31" s="7"/>
      <c r="C31" s="7"/>
      <c r="D31" s="7"/>
      <c r="E31" s="7"/>
      <c r="F31" s="7"/>
      <c r="G31" s="7"/>
      <c r="H31" s="7"/>
    </row>
    <row r="32" spans="1:8">
      <c r="A32" s="7"/>
      <c r="B32" s="7"/>
      <c r="C32" s="7"/>
      <c r="D32" s="7"/>
      <c r="E32" s="7"/>
      <c r="F32" s="7"/>
      <c r="G32" s="7"/>
      <c r="H32" s="7"/>
    </row>
    <row r="33" spans="1:8">
      <c r="A33" s="7"/>
      <c r="B33" s="7"/>
      <c r="C33" s="7"/>
      <c r="D33" s="7"/>
      <c r="E33" s="7"/>
      <c r="F33" s="7"/>
      <c r="G33" s="7"/>
      <c r="H33" s="7"/>
    </row>
    <row r="34" spans="1:8">
      <c r="A34" s="7"/>
      <c r="B34" s="7"/>
      <c r="C34" s="7"/>
      <c r="D34" s="7"/>
      <c r="E34" s="7"/>
      <c r="F34" s="7"/>
      <c r="G34" s="7"/>
      <c r="H34" s="7"/>
    </row>
    <row r="35" spans="1:8">
      <c r="A35" s="7"/>
      <c r="B35" s="7"/>
      <c r="C35" s="7"/>
      <c r="D35" s="7"/>
      <c r="E35" s="7"/>
      <c r="F35" s="7"/>
      <c r="G35" s="7"/>
      <c r="H35" s="7"/>
    </row>
    <row r="36" spans="1:8">
      <c r="A36" s="7"/>
      <c r="B36" s="7"/>
      <c r="C36" s="7"/>
      <c r="D36" s="7"/>
      <c r="E36" s="7"/>
      <c r="F36" s="7"/>
      <c r="G36" s="7"/>
      <c r="H36" s="7"/>
    </row>
    <row r="37" spans="1:8">
      <c r="A37" s="7"/>
      <c r="B37" s="7"/>
      <c r="C37" s="7"/>
      <c r="D37" s="7"/>
      <c r="E37" s="7"/>
      <c r="F37" s="7"/>
      <c r="G37" s="7"/>
      <c r="H37" s="7"/>
    </row>
    <row r="38" spans="1:8">
      <c r="A38" s="7"/>
      <c r="B38" s="7"/>
      <c r="C38" s="7"/>
      <c r="D38" s="7"/>
      <c r="E38" s="7"/>
      <c r="F38" s="7"/>
      <c r="G38" s="7"/>
      <c r="H38" s="7"/>
    </row>
    <row r="39" spans="1:8">
      <c r="A39" s="7"/>
      <c r="B39" s="7"/>
      <c r="C39" s="7"/>
      <c r="D39" s="7"/>
      <c r="E39" s="7"/>
      <c r="F39" s="7"/>
      <c r="G39" s="7"/>
      <c r="H39" s="7"/>
    </row>
    <row r="40" spans="1:8">
      <c r="A40" s="7"/>
      <c r="B40" s="7"/>
      <c r="C40" s="7"/>
      <c r="D40" s="7"/>
      <c r="E40" s="7"/>
      <c r="F40" s="7"/>
      <c r="G40" s="7"/>
      <c r="H40" s="7"/>
    </row>
    <row r="41" spans="1:8">
      <c r="A41" s="7"/>
      <c r="B41" s="7"/>
      <c r="C41" s="7"/>
      <c r="D41" s="7"/>
      <c r="E41" s="7"/>
      <c r="F41" s="7"/>
      <c r="G41" s="7"/>
      <c r="H41" s="7"/>
    </row>
    <row r="42" spans="1:8">
      <c r="A42" s="7"/>
      <c r="B42" s="7"/>
      <c r="C42" s="7"/>
      <c r="D42" s="7"/>
      <c r="E42" s="7"/>
      <c r="F42" s="7"/>
      <c r="G42" s="7"/>
      <c r="H42" s="7"/>
    </row>
    <row r="43" spans="1:8">
      <c r="A43" s="7"/>
      <c r="B43" s="7"/>
      <c r="C43" s="7"/>
      <c r="D43" s="7"/>
      <c r="E43" s="7"/>
      <c r="F43" s="7"/>
      <c r="G43" s="7"/>
      <c r="H43" s="7"/>
    </row>
    <row r="44" spans="1:8">
      <c r="A44" s="7"/>
      <c r="B44" s="7"/>
      <c r="C44" s="7"/>
      <c r="D44" s="7"/>
      <c r="E44" s="7"/>
      <c r="F44" s="7"/>
      <c r="G44" s="7"/>
      <c r="H44" s="7"/>
    </row>
    <row r="45" spans="1:8">
      <c r="A45" s="7"/>
      <c r="B45" s="7"/>
      <c r="C45" s="7"/>
      <c r="D45" s="7"/>
      <c r="E45" s="7"/>
      <c r="F45" s="7"/>
      <c r="G45" s="7"/>
      <c r="H45" s="7"/>
    </row>
    <row r="46" spans="1:8">
      <c r="A46" s="7"/>
      <c r="B46" s="7"/>
      <c r="C46" s="7"/>
      <c r="D46" s="7"/>
      <c r="E46" s="7"/>
      <c r="F46" s="7"/>
      <c r="G46" s="7"/>
      <c r="H46" s="7"/>
    </row>
    <row r="47" spans="1:8">
      <c r="A47" s="7"/>
      <c r="B47" s="7"/>
      <c r="C47" s="7"/>
      <c r="D47" s="7"/>
      <c r="E47" s="7"/>
      <c r="F47" s="7"/>
      <c r="G47" s="7"/>
      <c r="H47" s="7"/>
    </row>
    <row r="48" spans="1:8">
      <c r="A48" s="7"/>
      <c r="B48" s="7"/>
      <c r="C48" s="7"/>
      <c r="D48" s="7"/>
      <c r="E48" s="7"/>
      <c r="F48" s="7"/>
      <c r="G48" s="7"/>
      <c r="H48" s="7"/>
    </row>
    <row r="49" spans="1:8">
      <c r="A49" s="7"/>
      <c r="B49" s="7"/>
      <c r="C49" s="7"/>
      <c r="D49" s="7"/>
      <c r="E49" s="7"/>
      <c r="F49" s="7"/>
      <c r="G49" s="7"/>
      <c r="H49" s="7"/>
    </row>
    <row r="50" spans="1:8">
      <c r="A50" s="7"/>
      <c r="B50" s="7"/>
      <c r="C50" s="7"/>
      <c r="D50" s="7"/>
      <c r="E50" s="7"/>
      <c r="F50" s="7"/>
      <c r="G50" s="7"/>
      <c r="H50" s="7"/>
    </row>
    <row r="51" spans="1:8">
      <c r="A51" s="7"/>
      <c r="B51" s="7"/>
      <c r="C51" s="7"/>
      <c r="D51" s="7"/>
      <c r="E51" s="7"/>
      <c r="F51" s="7"/>
      <c r="G51" s="7"/>
      <c r="H51" s="7"/>
    </row>
    <row r="52" spans="1:8">
      <c r="A52" s="7"/>
      <c r="B52" s="7"/>
      <c r="C52" s="7"/>
      <c r="D52" s="7"/>
      <c r="E52" s="7"/>
      <c r="F52" s="7"/>
      <c r="G52" s="7"/>
      <c r="H52" s="7"/>
    </row>
    <row r="53" spans="1:8">
      <c r="A53" s="7"/>
      <c r="B53" s="7"/>
      <c r="C53" s="7"/>
      <c r="D53" s="7"/>
      <c r="E53" s="7"/>
      <c r="F53" s="7"/>
      <c r="G53" s="7"/>
      <c r="H53" s="7"/>
    </row>
    <row r="54" spans="1:8">
      <c r="A54" s="7"/>
      <c r="B54" s="7"/>
      <c r="C54" s="7"/>
      <c r="D54" s="7"/>
      <c r="E54" s="7"/>
      <c r="F54" s="7"/>
      <c r="G54" s="7"/>
      <c r="H54" s="7"/>
    </row>
    <row r="55" spans="1:8">
      <c r="A55" s="7"/>
      <c r="B55" s="7"/>
      <c r="C55" s="7"/>
      <c r="D55" s="7"/>
      <c r="E55" s="7"/>
      <c r="F55" s="7"/>
      <c r="G55" s="7"/>
      <c r="H55" s="7"/>
    </row>
    <row r="56" spans="1:8">
      <c r="A56" s="7"/>
      <c r="B56" s="7"/>
      <c r="C56" s="7"/>
      <c r="D56" s="7"/>
      <c r="E56" s="7"/>
      <c r="F56" s="7"/>
      <c r="G56" s="7"/>
      <c r="H56" s="7"/>
    </row>
    <row r="57" spans="1:8">
      <c r="A57" s="7"/>
      <c r="B57" s="7"/>
      <c r="C57" s="7"/>
      <c r="D57" s="7"/>
      <c r="E57" s="7"/>
      <c r="F57" s="7"/>
      <c r="G57" s="7"/>
      <c r="H57" s="7"/>
    </row>
    <row r="58" spans="1:8">
      <c r="A58" s="7"/>
      <c r="B58" s="7"/>
      <c r="C58" s="7"/>
      <c r="D58" s="7"/>
      <c r="E58" s="7"/>
      <c r="F58" s="7"/>
      <c r="G58" s="7"/>
      <c r="H58" s="7"/>
    </row>
    <row r="59" spans="1:8">
      <c r="A59" s="7"/>
      <c r="B59" s="7"/>
      <c r="C59" s="7"/>
      <c r="D59" s="7"/>
      <c r="E59" s="7"/>
      <c r="F59" s="7"/>
      <c r="G59" s="7"/>
      <c r="H59" s="7"/>
    </row>
    <row r="60" spans="1:8">
      <c r="A60" s="7"/>
      <c r="B60" s="7"/>
      <c r="C60" s="7"/>
      <c r="D60" s="7"/>
      <c r="E60" s="7"/>
      <c r="F60" s="7"/>
      <c r="G60" s="7"/>
      <c r="H60" s="7"/>
    </row>
    <row r="61" spans="1:8">
      <c r="A61" s="7"/>
      <c r="B61" s="7"/>
      <c r="C61" s="7"/>
      <c r="D61" s="7"/>
      <c r="E61" s="7"/>
      <c r="F61" s="7"/>
      <c r="G61" s="7"/>
      <c r="H61" s="7"/>
    </row>
    <row r="62" spans="1:8">
      <c r="A62" s="7"/>
      <c r="B62" s="7"/>
      <c r="C62" s="7"/>
      <c r="D62" s="7"/>
      <c r="E62" s="7"/>
      <c r="F62" s="7"/>
      <c r="G62" s="7"/>
      <c r="H62" s="7"/>
    </row>
    <row r="63" spans="1:8">
      <c r="A63" s="7"/>
      <c r="B63" s="7"/>
      <c r="C63" s="7"/>
      <c r="D63" s="7"/>
      <c r="E63" s="7"/>
      <c r="F63" s="7"/>
      <c r="G63" s="7"/>
      <c r="H63" s="7"/>
    </row>
    <row r="64" spans="1:8">
      <c r="A64" s="7"/>
      <c r="B64" s="7"/>
      <c r="C64" s="7"/>
      <c r="D64" s="7"/>
      <c r="E64" s="7"/>
      <c r="F64" s="7"/>
      <c r="G64" s="7"/>
      <c r="H64" s="7"/>
    </row>
    <row r="65" spans="1:8">
      <c r="A65" s="7"/>
      <c r="B65" s="7"/>
      <c r="C65" s="7"/>
      <c r="D65" s="7"/>
      <c r="E65" s="7"/>
      <c r="F65" s="7"/>
      <c r="G65" s="7"/>
      <c r="H65" s="7"/>
    </row>
    <row r="66" spans="1:8">
      <c r="A66" s="7"/>
      <c r="B66" s="7"/>
      <c r="C66" s="7"/>
      <c r="D66" s="7"/>
      <c r="E66" s="7"/>
      <c r="F66" s="7"/>
      <c r="G66" s="7"/>
      <c r="H66" s="7"/>
    </row>
    <row r="67" spans="1:8">
      <c r="A67" s="7"/>
      <c r="B67" s="7"/>
      <c r="C67" s="7"/>
      <c r="D67" s="7"/>
      <c r="E67" s="7"/>
      <c r="F67" s="7"/>
      <c r="G67" s="7"/>
      <c r="H67" s="7"/>
    </row>
    <row r="68" spans="1:8">
      <c r="A68" s="7"/>
      <c r="B68" s="7"/>
      <c r="C68" s="7"/>
      <c r="D68" s="7"/>
      <c r="E68" s="7"/>
      <c r="F68" s="7"/>
      <c r="G68" s="7"/>
      <c r="H68" s="7"/>
    </row>
    <row r="69" spans="1:8">
      <c r="A69" s="7"/>
      <c r="B69" s="7"/>
      <c r="C69" s="7"/>
      <c r="D69" s="7"/>
      <c r="E69" s="7"/>
      <c r="F69" s="7"/>
      <c r="G69" s="7"/>
      <c r="H69" s="7"/>
    </row>
    <row r="70" spans="1:8">
      <c r="A70" s="7"/>
      <c r="B70" s="7"/>
      <c r="C70" s="7"/>
      <c r="D70" s="7"/>
      <c r="E70" s="7"/>
      <c r="F70" s="7"/>
      <c r="G70" s="7"/>
      <c r="H70" s="7"/>
    </row>
    <row r="71" spans="1:8">
      <c r="A71" s="7"/>
      <c r="B71" s="7"/>
      <c r="C71" s="7"/>
      <c r="D71" s="7"/>
      <c r="E71" s="7"/>
      <c r="F71" s="7"/>
      <c r="G71" s="7"/>
      <c r="H71" s="7"/>
    </row>
    <row r="72" spans="1:8">
      <c r="A72" s="7"/>
      <c r="B72" s="7"/>
      <c r="C72" s="7"/>
      <c r="D72" s="7"/>
      <c r="E72" s="7"/>
      <c r="F72" s="7"/>
      <c r="G72" s="7"/>
      <c r="H72" s="7"/>
    </row>
    <row r="73" spans="1:8">
      <c r="A73" s="7"/>
      <c r="B73" s="7"/>
      <c r="C73" s="7"/>
      <c r="D73" s="7"/>
      <c r="E73" s="7"/>
      <c r="F73" s="7"/>
      <c r="G73" s="7"/>
      <c r="H73" s="7"/>
    </row>
    <row r="74" spans="1:8">
      <c r="A74" s="7"/>
      <c r="B74" s="7"/>
      <c r="C74" s="7"/>
      <c r="D74" s="7"/>
      <c r="E74" s="7"/>
      <c r="F74" s="7"/>
      <c r="G74" s="7"/>
      <c r="H74" s="7"/>
    </row>
    <row r="75" spans="1:8">
      <c r="A75" s="7"/>
      <c r="B75" s="7"/>
      <c r="C75" s="7"/>
      <c r="D75" s="7"/>
      <c r="E75" s="7"/>
      <c r="F75" s="7"/>
      <c r="G75" s="7"/>
      <c r="H75" s="7"/>
    </row>
    <row r="76" spans="1:8">
      <c r="A76" s="7"/>
      <c r="B76" s="7"/>
      <c r="C76" s="7"/>
      <c r="D76" s="7"/>
      <c r="E76" s="7"/>
      <c r="F76" s="7"/>
      <c r="G76" s="7"/>
      <c r="H76" s="7"/>
    </row>
    <row r="77" spans="1:8">
      <c r="A77" s="7"/>
      <c r="B77" s="7"/>
      <c r="C77" s="7"/>
      <c r="D77" s="7"/>
      <c r="E77" s="7"/>
      <c r="F77" s="7"/>
      <c r="G77" s="7"/>
      <c r="H77" s="7"/>
    </row>
    <row r="78" spans="1:8">
      <c r="A78" s="7"/>
      <c r="B78" s="7"/>
      <c r="C78" s="7"/>
      <c r="D78" s="7"/>
      <c r="E78" s="7"/>
      <c r="F78" s="7"/>
      <c r="G78" s="7"/>
      <c r="H78" s="7"/>
    </row>
    <row r="79" spans="1:8">
      <c r="A79" s="7"/>
      <c r="B79" s="7"/>
      <c r="C79" s="7"/>
      <c r="D79" s="7"/>
      <c r="E79" s="7"/>
      <c r="F79" s="7"/>
      <c r="G79" s="7"/>
      <c r="H79" s="7"/>
    </row>
    <row r="80" spans="1:8">
      <c r="A80" s="7"/>
      <c r="B80" s="7"/>
      <c r="C80" s="7"/>
      <c r="D80" s="7"/>
      <c r="E80" s="7"/>
      <c r="F80" s="7"/>
      <c r="G80" s="7"/>
      <c r="H80" s="7"/>
    </row>
    <row r="81" spans="1:8">
      <c r="A81" s="7"/>
      <c r="B81" s="7"/>
      <c r="C81" s="7"/>
      <c r="D81" s="7"/>
      <c r="E81" s="7"/>
      <c r="F81" s="7"/>
      <c r="G81" s="7"/>
      <c r="H81" s="7"/>
    </row>
    <row r="82" spans="1:8">
      <c r="A82" s="7"/>
      <c r="B82" s="7"/>
      <c r="C82" s="7"/>
      <c r="D82" s="7"/>
      <c r="E82" s="7"/>
      <c r="F82" s="7"/>
      <c r="G82" s="7"/>
      <c r="H82" s="7"/>
    </row>
    <row r="83" spans="1:8">
      <c r="A83" s="7"/>
      <c r="B83" s="7"/>
      <c r="C83" s="7"/>
      <c r="D83" s="7"/>
      <c r="E83" s="7"/>
      <c r="F83" s="7"/>
      <c r="G83" s="7"/>
      <c r="H83" s="7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86"/>
  <sheetViews>
    <sheetView workbookViewId="0">
      <selection activeCell="A20" sqref="A20"/>
    </sheetView>
  </sheetViews>
  <sheetFormatPr defaultColWidth="9" defaultRowHeight="13.5" outlineLevelCol="1"/>
  <cols>
    <col min="1" max="2" width="20.0916666666667" customWidth="1"/>
  </cols>
  <sheetData>
    <row r="2" ht="15" spans="1:2">
      <c r="A2" s="1" t="s">
        <v>1</v>
      </c>
      <c r="B2" s="1" t="s">
        <v>211</v>
      </c>
    </row>
    <row r="3" ht="15" spans="1:2">
      <c r="A3" s="3" t="s">
        <v>63</v>
      </c>
      <c r="B3" s="3" t="s">
        <v>65</v>
      </c>
    </row>
    <row r="4" spans="1:2">
      <c r="A4" s="5">
        <v>5020101</v>
      </c>
      <c r="B4" s="5"/>
    </row>
    <row r="5" spans="1:2">
      <c r="A5" s="5">
        <v>5020201</v>
      </c>
      <c r="B5" s="5"/>
    </row>
    <row r="6" spans="1:2">
      <c r="A6" s="5">
        <v>5020301</v>
      </c>
      <c r="B6" s="5"/>
    </row>
    <row r="7" spans="1:2">
      <c r="A7" s="5">
        <v>5020401</v>
      </c>
      <c r="B7" s="5"/>
    </row>
    <row r="8" spans="1:2">
      <c r="A8" s="5">
        <v>5020501</v>
      </c>
      <c r="B8" s="5"/>
    </row>
    <row r="9" spans="1:2">
      <c r="A9" s="5">
        <v>5020601</v>
      </c>
      <c r="B9" s="5"/>
    </row>
    <row r="10" spans="1:2">
      <c r="A10" s="5">
        <v>5020701</v>
      </c>
      <c r="B10" s="5"/>
    </row>
    <row r="11" spans="1:2">
      <c r="A11" s="5">
        <v>5020801</v>
      </c>
      <c r="B11" s="5"/>
    </row>
    <row r="12" spans="1:2">
      <c r="A12" s="5">
        <v>5020901</v>
      </c>
      <c r="B12" s="5"/>
    </row>
    <row r="13" spans="1:2">
      <c r="A13" s="5">
        <v>5021001</v>
      </c>
      <c r="B13" s="5"/>
    </row>
    <row r="14" spans="1:2">
      <c r="A14" s="5">
        <v>5021101</v>
      </c>
      <c r="B14" s="5"/>
    </row>
    <row r="15" spans="1:2">
      <c r="A15" s="5">
        <v>5021201</v>
      </c>
      <c r="B15" s="7"/>
    </row>
    <row r="16" spans="1:2">
      <c r="A16" s="5">
        <v>5021301</v>
      </c>
      <c r="B16" s="7"/>
    </row>
    <row r="17" spans="1:2">
      <c r="A17" s="7"/>
      <c r="B17" s="7"/>
    </row>
    <row r="18" spans="1:2">
      <c r="A18" s="7"/>
      <c r="B18" s="7"/>
    </row>
    <row r="19" spans="1:2">
      <c r="A19" s="7"/>
      <c r="B19" s="7"/>
    </row>
    <row r="20" spans="1:2">
      <c r="A20" s="7"/>
      <c r="B20" s="7"/>
    </row>
    <row r="21" spans="1:2">
      <c r="A21" s="7"/>
      <c r="B21" s="7"/>
    </row>
    <row r="22" spans="1:2">
      <c r="A22" s="7"/>
      <c r="B22" s="7"/>
    </row>
    <row r="23" spans="1:2">
      <c r="A23" s="7"/>
      <c r="B23" s="7"/>
    </row>
    <row r="24" spans="1:2">
      <c r="A24" s="7"/>
      <c r="B24" s="7"/>
    </row>
    <row r="25" spans="1:2">
      <c r="A25" s="7"/>
      <c r="B25" s="7"/>
    </row>
    <row r="26" spans="1:2">
      <c r="A26" s="7"/>
      <c r="B26" s="7"/>
    </row>
    <row r="27" spans="1:2">
      <c r="A27" s="7"/>
      <c r="B27" s="7"/>
    </row>
    <row r="28" spans="1:2">
      <c r="A28" s="7"/>
      <c r="B28" s="7"/>
    </row>
    <row r="29" spans="1:2">
      <c r="A29" s="7"/>
      <c r="B29" s="7"/>
    </row>
    <row r="30" spans="1:2">
      <c r="A30" s="7"/>
      <c r="B30" s="7"/>
    </row>
    <row r="31" spans="1:2">
      <c r="A31" s="7"/>
      <c r="B31" s="7"/>
    </row>
    <row r="32" spans="1:2">
      <c r="A32" s="7"/>
      <c r="B32" s="7"/>
    </row>
    <row r="33" spans="1:2">
      <c r="A33" s="7"/>
      <c r="B33" s="7"/>
    </row>
    <row r="34" spans="1:2">
      <c r="A34" s="7"/>
      <c r="B34" s="7"/>
    </row>
    <row r="35" spans="1:2">
      <c r="A35" s="7"/>
      <c r="B35" s="7"/>
    </row>
    <row r="36" spans="1:2">
      <c r="A36" s="7"/>
      <c r="B36" s="7"/>
    </row>
    <row r="37" spans="1:2">
      <c r="A37" s="7"/>
      <c r="B37" s="7"/>
    </row>
    <row r="38" spans="1:2">
      <c r="A38" s="7"/>
      <c r="B38" s="7"/>
    </row>
    <row r="39" spans="1:2">
      <c r="A39" s="7"/>
      <c r="B39" s="7"/>
    </row>
    <row r="40" spans="1:2">
      <c r="A40" s="7"/>
      <c r="B40" s="7"/>
    </row>
    <row r="41" spans="1:2">
      <c r="A41" s="7"/>
      <c r="B41" s="7"/>
    </row>
    <row r="42" spans="1:2">
      <c r="A42" s="7"/>
      <c r="B42" s="7"/>
    </row>
    <row r="43" spans="1:2">
      <c r="A43" s="7"/>
      <c r="B43" s="7"/>
    </row>
    <row r="44" spans="1:2">
      <c r="A44" s="7"/>
      <c r="B44" s="7"/>
    </row>
    <row r="45" spans="1:2">
      <c r="A45" s="7"/>
      <c r="B45" s="7"/>
    </row>
    <row r="46" spans="1:2">
      <c r="A46" s="7"/>
      <c r="B46" s="7"/>
    </row>
    <row r="47" spans="1:2">
      <c r="A47" s="7"/>
      <c r="B47" s="7"/>
    </row>
    <row r="48" spans="1:2">
      <c r="A48" s="7"/>
      <c r="B48" s="7"/>
    </row>
    <row r="49" spans="1:2">
      <c r="A49" s="7"/>
      <c r="B49" s="7"/>
    </row>
    <row r="50" spans="1:2">
      <c r="A50" s="7"/>
      <c r="B50" s="7"/>
    </row>
    <row r="51" spans="1:2">
      <c r="A51" s="7"/>
      <c r="B51" s="7"/>
    </row>
    <row r="52" spans="1:2">
      <c r="A52" s="7"/>
      <c r="B52" s="7"/>
    </row>
    <row r="53" spans="1:2">
      <c r="A53" s="7"/>
      <c r="B53" s="7"/>
    </row>
    <row r="54" spans="1:2">
      <c r="A54" s="7"/>
      <c r="B54" s="7"/>
    </row>
    <row r="55" spans="1:2">
      <c r="A55" s="7"/>
      <c r="B55" s="7"/>
    </row>
    <row r="56" spans="1:2">
      <c r="A56" s="7"/>
      <c r="B56" s="7"/>
    </row>
    <row r="57" spans="1:2">
      <c r="A57" s="7"/>
      <c r="B57" s="7"/>
    </row>
    <row r="58" spans="1:2">
      <c r="A58" s="7"/>
      <c r="B58" s="7"/>
    </row>
    <row r="59" spans="1:2">
      <c r="A59" s="7"/>
      <c r="B59" s="7"/>
    </row>
    <row r="60" spans="1:2">
      <c r="A60" s="7"/>
      <c r="B60" s="7"/>
    </row>
    <row r="61" spans="1:2">
      <c r="A61" s="7"/>
      <c r="B61" s="7"/>
    </row>
    <row r="62" spans="1:2">
      <c r="A62" s="7"/>
      <c r="B62" s="7"/>
    </row>
    <row r="63" spans="1:2">
      <c r="A63" s="7"/>
      <c r="B63" s="7"/>
    </row>
    <row r="64" spans="1:2">
      <c r="A64" s="7"/>
      <c r="B64" s="7"/>
    </row>
    <row r="65" spans="1:2">
      <c r="A65" s="7"/>
      <c r="B65" s="7"/>
    </row>
    <row r="66" spans="1:2">
      <c r="A66" s="7"/>
      <c r="B66" s="7"/>
    </row>
    <row r="67" spans="1:2">
      <c r="A67" s="7"/>
      <c r="B67" s="7"/>
    </row>
    <row r="68" spans="1:2">
      <c r="A68" s="7"/>
      <c r="B68" s="7"/>
    </row>
    <row r="69" spans="1:2">
      <c r="A69" s="7"/>
      <c r="B69" s="7"/>
    </row>
    <row r="70" spans="1:2">
      <c r="A70" s="7"/>
      <c r="B70" s="7"/>
    </row>
    <row r="71" spans="1:2">
      <c r="A71" s="7"/>
      <c r="B71" s="7"/>
    </row>
    <row r="72" spans="1:2">
      <c r="A72" s="7"/>
      <c r="B72" s="7"/>
    </row>
    <row r="73" spans="1:2">
      <c r="A73" s="7"/>
      <c r="B73" s="7"/>
    </row>
    <row r="74" spans="1:2">
      <c r="A74" s="7"/>
      <c r="B74" s="7"/>
    </row>
    <row r="75" spans="1:2">
      <c r="A75" s="7"/>
      <c r="B75" s="7"/>
    </row>
    <row r="76" spans="1:2">
      <c r="A76" s="7"/>
      <c r="B76" s="7"/>
    </row>
    <row r="77" spans="1:2">
      <c r="A77" s="7"/>
      <c r="B77" s="7"/>
    </row>
    <row r="78" spans="1:2">
      <c r="A78" s="7"/>
      <c r="B78" s="7"/>
    </row>
    <row r="79" spans="1:2">
      <c r="A79" s="7"/>
      <c r="B79" s="7"/>
    </row>
    <row r="80" spans="1:2">
      <c r="A80" s="7"/>
      <c r="B80" s="7"/>
    </row>
    <row r="81" spans="1:2">
      <c r="A81" s="7"/>
      <c r="B81" s="7"/>
    </row>
    <row r="82" spans="1:2">
      <c r="A82" s="7"/>
      <c r="B82" s="7"/>
    </row>
    <row r="83" spans="1:2">
      <c r="A83" s="7"/>
      <c r="B83" s="7"/>
    </row>
    <row r="84" spans="1:2">
      <c r="A84" s="7"/>
      <c r="B84" s="7"/>
    </row>
    <row r="85" spans="1:2">
      <c r="A85" s="7"/>
      <c r="B85" s="7"/>
    </row>
    <row r="86" spans="1:2">
      <c r="A86" s="7"/>
      <c r="B86" s="7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82"/>
  <sheetViews>
    <sheetView workbookViewId="0">
      <selection activeCell="B14" sqref="B14"/>
    </sheetView>
  </sheetViews>
  <sheetFormatPr defaultColWidth="9" defaultRowHeight="13.5" outlineLevelCol="3"/>
  <cols>
    <col min="1" max="2" width="27.375" customWidth="1"/>
    <col min="3" max="3" width="126.125" customWidth="1"/>
    <col min="4" max="4" width="81.75" customWidth="1"/>
  </cols>
  <sheetData>
    <row r="2" ht="15" spans="1:4">
      <c r="A2" s="1" t="s">
        <v>1</v>
      </c>
      <c r="B2" s="1" t="s">
        <v>211</v>
      </c>
      <c r="C2" s="1" t="s">
        <v>1</v>
      </c>
      <c r="D2" s="1" t="s">
        <v>212</v>
      </c>
    </row>
    <row r="3" ht="15" spans="1:4">
      <c r="A3" s="3" t="s">
        <v>63</v>
      </c>
      <c r="B3" s="3" t="s">
        <v>65</v>
      </c>
      <c r="C3" s="3" t="s">
        <v>213</v>
      </c>
      <c r="D3" s="3" t="s">
        <v>214</v>
      </c>
    </row>
    <row r="4" spans="1:4">
      <c r="A4" s="5">
        <v>0</v>
      </c>
      <c r="B4" s="5">
        <v>0</v>
      </c>
      <c r="C4" s="7"/>
      <c r="D4" s="10" t="s">
        <v>215</v>
      </c>
    </row>
    <row r="5" spans="1:4">
      <c r="A5" s="5">
        <v>1</v>
      </c>
      <c r="B5" s="5" t="s">
        <v>216</v>
      </c>
      <c r="C5" s="13" t="s">
        <v>217</v>
      </c>
      <c r="D5" s="10" t="s">
        <v>218</v>
      </c>
    </row>
    <row r="6" spans="1:4">
      <c r="A6" s="5">
        <v>2</v>
      </c>
      <c r="B6" s="5" t="s">
        <v>219</v>
      </c>
      <c r="C6" s="13" t="s">
        <v>220</v>
      </c>
      <c r="D6" s="10" t="s">
        <v>221</v>
      </c>
    </row>
    <row r="7" spans="1:4">
      <c r="A7" s="5">
        <v>3</v>
      </c>
      <c r="B7" s="5" t="s">
        <v>222</v>
      </c>
      <c r="C7" s="13" t="s">
        <v>223</v>
      </c>
      <c r="D7" s="10" t="s">
        <v>224</v>
      </c>
    </row>
    <row r="8" spans="1:4">
      <c r="A8" s="5"/>
      <c r="B8" s="5"/>
      <c r="C8" s="7"/>
      <c r="D8" s="7"/>
    </row>
    <row r="9" spans="1:4">
      <c r="A9" s="5"/>
      <c r="B9" s="5"/>
      <c r="C9" s="7"/>
      <c r="D9" s="7"/>
    </row>
    <row r="10" spans="1:4">
      <c r="A10" s="5"/>
      <c r="B10" s="5"/>
      <c r="C10" s="7"/>
      <c r="D10" s="7"/>
    </row>
    <row r="11" spans="1:4">
      <c r="A11" s="5"/>
      <c r="B11" s="5"/>
      <c r="C11" s="7"/>
      <c r="D11" s="7"/>
    </row>
    <row r="12" spans="1:4">
      <c r="A12" s="5"/>
      <c r="B12" s="5"/>
      <c r="C12" s="7"/>
      <c r="D12" s="7"/>
    </row>
    <row r="13" spans="1:4">
      <c r="A13" s="5"/>
      <c r="B13" s="7"/>
      <c r="C13" s="7"/>
      <c r="D13" s="7"/>
    </row>
    <row r="14" spans="1:4">
      <c r="A14" s="7"/>
      <c r="B14" s="7"/>
      <c r="C14" s="7"/>
      <c r="D14" s="7"/>
    </row>
    <row r="15" spans="1:4">
      <c r="A15" s="7"/>
      <c r="B15" s="7"/>
      <c r="C15" s="7"/>
      <c r="D15" s="7"/>
    </row>
    <row r="16" spans="1:4">
      <c r="A16" s="7"/>
      <c r="B16" s="7"/>
      <c r="C16" s="7"/>
      <c r="D16" s="7"/>
    </row>
    <row r="17" spans="1:4">
      <c r="A17" s="7"/>
      <c r="B17" s="7"/>
      <c r="C17" s="7"/>
      <c r="D17" s="7"/>
    </row>
    <row r="18" spans="1:4">
      <c r="A18" s="7"/>
      <c r="B18" s="7"/>
      <c r="C18" s="7"/>
      <c r="D18" s="7"/>
    </row>
    <row r="19" spans="1:4">
      <c r="A19" s="7"/>
      <c r="B19" s="7"/>
      <c r="C19" s="7"/>
      <c r="D19" s="7"/>
    </row>
    <row r="20" spans="1:4">
      <c r="A20" s="7"/>
      <c r="B20" s="7"/>
      <c r="C20" s="7"/>
      <c r="D20" s="7"/>
    </row>
    <row r="21" spans="1:4">
      <c r="A21" s="7"/>
      <c r="B21" s="7"/>
      <c r="C21" s="7"/>
      <c r="D21" s="7"/>
    </row>
    <row r="22" spans="1:4">
      <c r="A22" s="7"/>
      <c r="B22" s="7"/>
      <c r="C22" s="7"/>
      <c r="D22" s="7"/>
    </row>
    <row r="23" spans="1:4">
      <c r="A23" s="7"/>
      <c r="B23" s="7"/>
      <c r="C23" s="7"/>
      <c r="D23" s="7"/>
    </row>
    <row r="24" spans="1:4">
      <c r="A24" s="7"/>
      <c r="B24" s="7"/>
      <c r="C24" s="7"/>
      <c r="D24" s="7"/>
    </row>
    <row r="25" spans="1:4">
      <c r="A25" s="7"/>
      <c r="B25" s="7"/>
      <c r="C25" s="7"/>
      <c r="D25" s="7"/>
    </row>
    <row r="26" spans="1:4">
      <c r="A26" s="7"/>
      <c r="B26" s="7"/>
      <c r="C26" s="7"/>
      <c r="D26" s="7"/>
    </row>
    <row r="27" spans="1:4">
      <c r="A27" s="7"/>
      <c r="B27" s="7"/>
      <c r="C27" s="7"/>
      <c r="D27" s="7"/>
    </row>
    <row r="28" spans="1:4">
      <c r="A28" s="7"/>
      <c r="B28" s="7"/>
      <c r="C28" s="7"/>
      <c r="D28" s="7"/>
    </row>
    <row r="29" spans="1:4">
      <c r="A29" s="7"/>
      <c r="B29" s="7"/>
      <c r="C29" s="7"/>
      <c r="D29" s="7"/>
    </row>
    <row r="30" spans="1:4">
      <c r="A30" s="7"/>
      <c r="B30" s="7"/>
      <c r="C30" s="7"/>
      <c r="D30" s="7"/>
    </row>
    <row r="31" spans="1:4">
      <c r="A31" s="7"/>
      <c r="B31" s="7"/>
      <c r="C31" s="7"/>
      <c r="D31" s="7"/>
    </row>
    <row r="32" spans="1:4">
      <c r="A32" s="7"/>
      <c r="B32" s="7"/>
      <c r="C32" s="7"/>
      <c r="D32" s="7"/>
    </row>
    <row r="33" spans="1:4">
      <c r="A33" s="7"/>
      <c r="B33" s="7"/>
      <c r="C33" s="7"/>
      <c r="D33" s="7"/>
    </row>
    <row r="34" spans="1:4">
      <c r="A34" s="7"/>
      <c r="B34" s="7"/>
      <c r="C34" s="7"/>
      <c r="D34" s="7"/>
    </row>
    <row r="35" spans="1:4">
      <c r="A35" s="7"/>
      <c r="B35" s="7"/>
      <c r="C35" s="7"/>
      <c r="D35" s="7"/>
    </row>
    <row r="36" spans="1:4">
      <c r="A36" s="7"/>
      <c r="B36" s="7"/>
      <c r="C36" s="7"/>
      <c r="D36" s="7"/>
    </row>
    <row r="37" spans="1:4">
      <c r="A37" s="7"/>
      <c r="B37" s="7"/>
      <c r="C37" s="7"/>
      <c r="D37" s="7"/>
    </row>
    <row r="38" spans="1:4">
      <c r="A38" s="7"/>
      <c r="B38" s="7"/>
      <c r="C38" s="7"/>
      <c r="D38" s="7"/>
    </row>
    <row r="39" spans="1:4">
      <c r="A39" s="7"/>
      <c r="B39" s="7"/>
      <c r="C39" s="7"/>
      <c r="D39" s="7"/>
    </row>
    <row r="40" spans="1:4">
      <c r="A40" s="7"/>
      <c r="B40" s="7"/>
      <c r="C40" s="7"/>
      <c r="D40" s="7"/>
    </row>
    <row r="41" spans="1:4">
      <c r="A41" s="7"/>
      <c r="B41" s="7"/>
      <c r="C41" s="7"/>
      <c r="D41" s="7"/>
    </row>
    <row r="42" spans="1:4">
      <c r="A42" s="7"/>
      <c r="B42" s="7"/>
      <c r="C42" s="7"/>
      <c r="D42" s="7"/>
    </row>
    <row r="43" spans="1:4">
      <c r="A43" s="7"/>
      <c r="B43" s="7"/>
      <c r="C43" s="7"/>
      <c r="D43" s="7"/>
    </row>
    <row r="44" spans="1:4">
      <c r="A44" s="7"/>
      <c r="B44" s="7"/>
      <c r="C44" s="7"/>
      <c r="D44" s="7"/>
    </row>
    <row r="45" spans="1:4">
      <c r="A45" s="7"/>
      <c r="B45" s="7"/>
      <c r="C45" s="7"/>
      <c r="D45" s="7"/>
    </row>
    <row r="46" spans="1:4">
      <c r="A46" s="7"/>
      <c r="B46" s="7"/>
      <c r="C46" s="7"/>
      <c r="D46" s="7"/>
    </row>
    <row r="47" spans="1:4">
      <c r="A47" s="7"/>
      <c r="B47" s="7"/>
      <c r="C47" s="7"/>
      <c r="D47" s="7"/>
    </row>
    <row r="48" spans="1:4">
      <c r="A48" s="7"/>
      <c r="B48" s="7"/>
      <c r="C48" s="7"/>
      <c r="D48" s="7"/>
    </row>
    <row r="49" spans="1:4">
      <c r="A49" s="7"/>
      <c r="B49" s="7"/>
      <c r="C49" s="7"/>
      <c r="D49" s="7"/>
    </row>
    <row r="50" spans="1:4">
      <c r="A50" s="7"/>
      <c r="B50" s="7"/>
      <c r="C50" s="7"/>
      <c r="D50" s="7"/>
    </row>
    <row r="51" spans="1:4">
      <c r="A51" s="7"/>
      <c r="B51" s="7"/>
      <c r="C51" s="7"/>
      <c r="D51" s="7"/>
    </row>
    <row r="52" spans="1:4">
      <c r="A52" s="7"/>
      <c r="B52" s="7"/>
      <c r="C52" s="7"/>
      <c r="D52" s="7"/>
    </row>
    <row r="53" spans="1:4">
      <c r="A53" s="7"/>
      <c r="B53" s="7"/>
      <c r="C53" s="7"/>
      <c r="D53" s="7"/>
    </row>
    <row r="54" spans="1:4">
      <c r="A54" s="7"/>
      <c r="B54" s="7"/>
      <c r="C54" s="7"/>
      <c r="D54" s="7"/>
    </row>
    <row r="55" spans="1:4">
      <c r="A55" s="7"/>
      <c r="B55" s="7"/>
      <c r="C55" s="7"/>
      <c r="D55" s="7"/>
    </row>
    <row r="56" spans="1:4">
      <c r="A56" s="7"/>
      <c r="B56" s="7"/>
      <c r="C56" s="7"/>
      <c r="D56" s="7"/>
    </row>
    <row r="57" spans="1:4">
      <c r="A57" s="7"/>
      <c r="B57" s="7"/>
      <c r="C57" s="7"/>
      <c r="D57" s="7"/>
    </row>
    <row r="58" spans="1:4">
      <c r="A58" s="7"/>
      <c r="B58" s="7"/>
      <c r="C58" s="7"/>
      <c r="D58" s="7"/>
    </row>
    <row r="59" spans="1:4">
      <c r="A59" s="7"/>
      <c r="B59" s="7"/>
      <c r="C59" s="7"/>
      <c r="D59" s="7"/>
    </row>
    <row r="60" spans="1:4">
      <c r="A60" s="7"/>
      <c r="B60" s="7"/>
      <c r="C60" s="7"/>
      <c r="D60" s="7"/>
    </row>
    <row r="61" spans="1:4">
      <c r="A61" s="7"/>
      <c r="B61" s="7"/>
      <c r="C61" s="7"/>
      <c r="D61" s="7"/>
    </row>
    <row r="62" spans="1:4">
      <c r="A62" s="7"/>
      <c r="B62" s="7"/>
      <c r="C62" s="7"/>
      <c r="D62" s="7"/>
    </row>
    <row r="63" spans="1:4">
      <c r="A63" s="7"/>
      <c r="B63" s="7"/>
      <c r="C63" s="7"/>
      <c r="D63" s="7"/>
    </row>
    <row r="64" spans="1:4">
      <c r="A64" s="7"/>
      <c r="B64" s="7"/>
      <c r="C64" s="7"/>
      <c r="D64" s="7"/>
    </row>
    <row r="65" spans="1:4">
      <c r="A65" s="7"/>
      <c r="B65" s="7"/>
      <c r="C65" s="7"/>
      <c r="D65" s="7"/>
    </row>
    <row r="66" spans="1:4">
      <c r="A66" s="7"/>
      <c r="B66" s="7"/>
      <c r="C66" s="7"/>
      <c r="D66" s="7"/>
    </row>
    <row r="67" spans="1:4">
      <c r="A67" s="7"/>
      <c r="B67" s="7"/>
      <c r="C67" s="7"/>
      <c r="D67" s="7"/>
    </row>
    <row r="68" spans="1:4">
      <c r="A68" s="7"/>
      <c r="B68" s="7"/>
      <c r="C68" s="7"/>
      <c r="D68" s="7"/>
    </row>
    <row r="69" spans="1:4">
      <c r="A69" s="7"/>
      <c r="B69" s="7"/>
      <c r="C69" s="7"/>
      <c r="D69" s="7"/>
    </row>
    <row r="70" spans="1:4">
      <c r="A70" s="7"/>
      <c r="B70" s="7"/>
      <c r="C70" s="7"/>
      <c r="D70" s="7"/>
    </row>
    <row r="71" spans="1:4">
      <c r="A71" s="7"/>
      <c r="B71" s="7"/>
      <c r="C71" s="7"/>
      <c r="D71" s="7"/>
    </row>
    <row r="72" spans="1:4">
      <c r="A72" s="7"/>
      <c r="B72" s="7"/>
      <c r="C72" s="7"/>
      <c r="D72" s="7"/>
    </row>
    <row r="73" spans="1:4">
      <c r="A73" s="7"/>
      <c r="B73" s="7"/>
      <c r="C73" s="7"/>
      <c r="D73" s="7"/>
    </row>
    <row r="74" spans="1:4">
      <c r="A74" s="7"/>
      <c r="B74" s="7"/>
      <c r="C74" s="7"/>
      <c r="D74" s="7"/>
    </row>
    <row r="75" spans="1:4">
      <c r="A75" s="7"/>
      <c r="B75" s="7"/>
      <c r="C75" s="7"/>
      <c r="D75" s="7"/>
    </row>
    <row r="76" spans="1:4">
      <c r="A76" s="7"/>
      <c r="B76" s="7"/>
      <c r="C76" s="7"/>
      <c r="D76" s="7"/>
    </row>
    <row r="77" spans="1:4">
      <c r="A77" s="7"/>
      <c r="B77" s="7"/>
      <c r="C77" s="7"/>
      <c r="D77" s="7"/>
    </row>
    <row r="78" spans="1:4">
      <c r="A78" s="7"/>
      <c r="B78" s="7"/>
      <c r="C78" s="7"/>
      <c r="D78" s="7"/>
    </row>
    <row r="79" spans="1:4">
      <c r="A79" s="7"/>
      <c r="B79" s="7"/>
      <c r="C79" s="7"/>
      <c r="D79" s="7"/>
    </row>
    <row r="80" spans="1:4">
      <c r="A80" s="7"/>
      <c r="B80" s="7"/>
      <c r="C80" s="7"/>
      <c r="D80" s="7"/>
    </row>
    <row r="81" spans="1:4">
      <c r="A81" s="7"/>
      <c r="B81" s="7"/>
      <c r="C81" s="7"/>
      <c r="D81" s="7"/>
    </row>
    <row r="82" spans="1:4">
      <c r="A82" s="7"/>
      <c r="B82" s="7"/>
      <c r="C82" s="7"/>
      <c r="D82" s="7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84"/>
  <sheetViews>
    <sheetView workbookViewId="0">
      <selection activeCell="D33" sqref="D33"/>
    </sheetView>
  </sheetViews>
  <sheetFormatPr defaultColWidth="9" defaultRowHeight="13.5" outlineLevelCol="5"/>
  <cols>
    <col min="1" max="1" width="12.125" customWidth="1"/>
    <col min="2" max="2" width="13.75" customWidth="1"/>
    <col min="3" max="3" width="46.625" style="9" customWidth="1"/>
    <col min="4" max="5" width="36.625" customWidth="1"/>
    <col min="6" max="6" width="27.375" customWidth="1"/>
  </cols>
  <sheetData>
    <row r="2" ht="15" spans="1:6">
      <c r="A2" s="1" t="s">
        <v>1</v>
      </c>
      <c r="B2" s="1"/>
      <c r="C2" s="1"/>
      <c r="D2" s="1"/>
      <c r="E2" s="1"/>
      <c r="F2" s="1"/>
    </row>
    <row r="3" ht="15" spans="1:6">
      <c r="A3" s="3" t="s">
        <v>63</v>
      </c>
      <c r="B3" s="3" t="s">
        <v>65</v>
      </c>
      <c r="C3" s="3" t="s">
        <v>225</v>
      </c>
      <c r="D3" s="3" t="s">
        <v>214</v>
      </c>
      <c r="E3" s="3" t="s">
        <v>82</v>
      </c>
      <c r="F3" s="3" t="s">
        <v>226</v>
      </c>
    </row>
    <row r="4" spans="1:6">
      <c r="A4" s="5">
        <v>1</v>
      </c>
      <c r="B4" s="5" t="s">
        <v>227</v>
      </c>
      <c r="C4" s="5">
        <v>0</v>
      </c>
      <c r="D4" s="10" t="s">
        <v>228</v>
      </c>
      <c r="E4" s="5">
        <v>0</v>
      </c>
      <c r="F4" s="5"/>
    </row>
    <row r="5" spans="1:6">
      <c r="A5" s="5">
        <v>2</v>
      </c>
      <c r="B5" s="5" t="s">
        <v>229</v>
      </c>
      <c r="C5" s="5">
        <v>0</v>
      </c>
      <c r="D5" s="10" t="s">
        <v>230</v>
      </c>
      <c r="E5" s="5">
        <v>0</v>
      </c>
      <c r="F5" s="5"/>
    </row>
    <row r="6" spans="1:6">
      <c r="A6" s="5">
        <v>3</v>
      </c>
      <c r="B6" s="5" t="s">
        <v>231</v>
      </c>
      <c r="C6" s="5">
        <v>0</v>
      </c>
      <c r="D6" s="10" t="s">
        <v>232</v>
      </c>
      <c r="E6" s="5">
        <v>0</v>
      </c>
      <c r="F6" s="5"/>
    </row>
    <row r="7" spans="1:6">
      <c r="A7" s="5">
        <v>4</v>
      </c>
      <c r="B7" s="5" t="s">
        <v>233</v>
      </c>
      <c r="C7" s="5" t="s">
        <v>234</v>
      </c>
      <c r="D7" s="10" t="s">
        <v>235</v>
      </c>
      <c r="E7" s="5">
        <v>1</v>
      </c>
      <c r="F7" s="5"/>
    </row>
    <row r="8" spans="1:6">
      <c r="A8" s="5">
        <v>5</v>
      </c>
      <c r="B8" s="5" t="s">
        <v>236</v>
      </c>
      <c r="C8" s="5">
        <v>0</v>
      </c>
      <c r="D8" s="10" t="s">
        <v>237</v>
      </c>
      <c r="E8" s="5">
        <v>0</v>
      </c>
      <c r="F8" s="5"/>
    </row>
    <row r="9" spans="1:6">
      <c r="A9" s="5">
        <v>6</v>
      </c>
      <c r="B9" s="5" t="s">
        <v>236</v>
      </c>
      <c r="C9" s="5">
        <v>0</v>
      </c>
      <c r="D9" s="10" t="s">
        <v>237</v>
      </c>
      <c r="E9" s="5">
        <v>0</v>
      </c>
      <c r="F9" s="5"/>
    </row>
    <row r="10" spans="1:6">
      <c r="A10" s="5">
        <v>7</v>
      </c>
      <c r="B10" s="5" t="s">
        <v>238</v>
      </c>
      <c r="C10" s="5">
        <v>0</v>
      </c>
      <c r="D10" s="10" t="s">
        <v>237</v>
      </c>
      <c r="E10" s="5">
        <v>0</v>
      </c>
      <c r="F10" s="5"/>
    </row>
    <row r="11" spans="1:6">
      <c r="A11" s="5">
        <v>8</v>
      </c>
      <c r="B11" s="5" t="s">
        <v>238</v>
      </c>
      <c r="C11" s="5">
        <v>0</v>
      </c>
      <c r="D11" s="10" t="s">
        <v>237</v>
      </c>
      <c r="E11" s="5">
        <v>0</v>
      </c>
      <c r="F11" s="5"/>
    </row>
    <row r="12" spans="1:6">
      <c r="A12" s="5">
        <v>9</v>
      </c>
      <c r="B12" s="5" t="s">
        <v>238</v>
      </c>
      <c r="C12" s="5">
        <v>0</v>
      </c>
      <c r="D12" s="10" t="s">
        <v>237</v>
      </c>
      <c r="E12" s="5">
        <v>0</v>
      </c>
      <c r="F12" s="5"/>
    </row>
    <row r="13" spans="1:6">
      <c r="A13" s="5">
        <v>10</v>
      </c>
      <c r="B13" s="5" t="s">
        <v>239</v>
      </c>
      <c r="C13" s="5" t="s">
        <v>240</v>
      </c>
      <c r="D13" s="10" t="s">
        <v>241</v>
      </c>
      <c r="E13" s="5">
        <v>2</v>
      </c>
      <c r="F13" s="5"/>
    </row>
    <row r="14" spans="1:6">
      <c r="A14" s="5">
        <v>11</v>
      </c>
      <c r="B14" s="5" t="s">
        <v>238</v>
      </c>
      <c r="C14" s="5">
        <v>0</v>
      </c>
      <c r="D14" s="10" t="s">
        <v>237</v>
      </c>
      <c r="E14" s="5">
        <v>0</v>
      </c>
      <c r="F14" s="5"/>
    </row>
    <row r="15" spans="1:6">
      <c r="A15" s="5">
        <v>12</v>
      </c>
      <c r="B15" s="5" t="s">
        <v>238</v>
      </c>
      <c r="C15" s="5">
        <v>0</v>
      </c>
      <c r="D15" s="10" t="s">
        <v>237</v>
      </c>
      <c r="E15" s="5">
        <v>0</v>
      </c>
      <c r="F15" s="5"/>
    </row>
    <row r="16" spans="1:6">
      <c r="A16" s="5">
        <v>13</v>
      </c>
      <c r="B16" s="5" t="s">
        <v>242</v>
      </c>
      <c r="C16" s="7">
        <v>0</v>
      </c>
      <c r="D16" s="10" t="s">
        <v>237</v>
      </c>
      <c r="E16" s="5">
        <v>0</v>
      </c>
      <c r="F16" s="5"/>
    </row>
    <row r="17" spans="1:6">
      <c r="A17" s="5">
        <v>14</v>
      </c>
      <c r="B17" s="5" t="s">
        <v>242</v>
      </c>
      <c r="C17" s="7">
        <v>0</v>
      </c>
      <c r="D17" s="10" t="s">
        <v>243</v>
      </c>
      <c r="E17" s="5">
        <v>0</v>
      </c>
      <c r="F17" s="5"/>
    </row>
    <row r="18" spans="1:6">
      <c r="A18" s="5">
        <v>15</v>
      </c>
      <c r="B18" s="5" t="s">
        <v>242</v>
      </c>
      <c r="C18" s="7">
        <v>0</v>
      </c>
      <c r="D18" s="10" t="s">
        <v>243</v>
      </c>
      <c r="E18" s="5">
        <v>0</v>
      </c>
      <c r="F18" s="5"/>
    </row>
    <row r="19" s="8" customFormat="1" spans="1:6">
      <c r="A19" s="6">
        <v>16</v>
      </c>
      <c r="B19" s="5" t="s">
        <v>239</v>
      </c>
      <c r="C19" s="11" t="s">
        <v>244</v>
      </c>
      <c r="D19" s="12" t="s">
        <v>245</v>
      </c>
      <c r="E19" s="5">
        <v>2</v>
      </c>
      <c r="F19" s="11">
        <v>1</v>
      </c>
    </row>
    <row r="20" s="8" customFormat="1" spans="1:6">
      <c r="A20" s="6">
        <v>17</v>
      </c>
      <c r="B20" s="5" t="s">
        <v>238</v>
      </c>
      <c r="C20" s="11">
        <v>0</v>
      </c>
      <c r="D20" s="12" t="s">
        <v>237</v>
      </c>
      <c r="E20" s="5">
        <v>0</v>
      </c>
      <c r="F20" s="11">
        <v>1</v>
      </c>
    </row>
    <row r="21" s="8" customFormat="1" spans="1:6">
      <c r="A21" s="6">
        <v>18</v>
      </c>
      <c r="B21" s="5" t="s">
        <v>238</v>
      </c>
      <c r="C21" s="11">
        <v>0</v>
      </c>
      <c r="D21" s="12" t="s">
        <v>237</v>
      </c>
      <c r="E21" s="5">
        <v>0</v>
      </c>
      <c r="F21" s="11">
        <v>1</v>
      </c>
    </row>
    <row r="22" s="8" customFormat="1" spans="1:6">
      <c r="A22" s="6">
        <v>19</v>
      </c>
      <c r="B22" s="5" t="s">
        <v>242</v>
      </c>
      <c r="C22" s="11">
        <v>0</v>
      </c>
      <c r="D22" s="12" t="s">
        <v>243</v>
      </c>
      <c r="E22" s="5">
        <v>0</v>
      </c>
      <c r="F22" s="11">
        <v>1</v>
      </c>
    </row>
    <row r="23" s="8" customFormat="1" spans="1:6">
      <c r="A23" s="6">
        <v>20</v>
      </c>
      <c r="B23" s="5" t="s">
        <v>242</v>
      </c>
      <c r="C23" s="11">
        <v>0</v>
      </c>
      <c r="D23" s="12" t="s">
        <v>243</v>
      </c>
      <c r="E23" s="5">
        <v>0</v>
      </c>
      <c r="F23" s="11">
        <v>1</v>
      </c>
    </row>
    <row r="24" s="8" customFormat="1" spans="1:6">
      <c r="A24" s="6">
        <v>21</v>
      </c>
      <c r="B24" s="5" t="s">
        <v>242</v>
      </c>
      <c r="C24" s="11">
        <v>0</v>
      </c>
      <c r="D24" s="12" t="s">
        <v>243</v>
      </c>
      <c r="E24" s="5">
        <v>0</v>
      </c>
      <c r="F24" s="11">
        <v>1</v>
      </c>
    </row>
    <row r="25" spans="1:6">
      <c r="A25" s="7"/>
      <c r="B25" s="7"/>
      <c r="C25" s="7"/>
      <c r="D25" s="7"/>
      <c r="E25" s="7"/>
      <c r="F25" s="7"/>
    </row>
    <row r="26" spans="1:6">
      <c r="A26" s="7"/>
      <c r="B26" s="7"/>
      <c r="C26" s="7"/>
      <c r="D26" s="7"/>
      <c r="E26" s="7"/>
      <c r="F26" s="7"/>
    </row>
    <row r="27" spans="1:6">
      <c r="A27" s="7"/>
      <c r="B27" s="7"/>
      <c r="C27" s="7"/>
      <c r="D27" s="7"/>
      <c r="E27" s="7"/>
      <c r="F27" s="7"/>
    </row>
    <row r="28" spans="1:6">
      <c r="A28" s="7"/>
      <c r="B28" s="7"/>
      <c r="C28" s="7"/>
      <c r="D28" s="7"/>
      <c r="E28" s="7"/>
      <c r="F28" s="7"/>
    </row>
    <row r="29" spans="1:6">
      <c r="A29" s="7"/>
      <c r="B29" s="7"/>
      <c r="C29" s="7"/>
      <c r="D29" s="7"/>
      <c r="E29" s="7"/>
      <c r="F29" s="7"/>
    </row>
    <row r="30" spans="1:6">
      <c r="A30" s="7"/>
      <c r="B30" s="7"/>
      <c r="C30" s="7"/>
      <c r="D30" s="7"/>
      <c r="E30" s="7"/>
      <c r="F30" s="7"/>
    </row>
    <row r="31" spans="1:6">
      <c r="A31" s="7"/>
      <c r="B31" s="7"/>
      <c r="C31" s="7"/>
      <c r="D31" s="7"/>
      <c r="E31" s="7"/>
      <c r="F31" s="7"/>
    </row>
    <row r="32" spans="1:6">
      <c r="A32" s="7"/>
      <c r="B32" s="7"/>
      <c r="C32" s="7"/>
      <c r="D32" s="7"/>
      <c r="E32" s="7"/>
      <c r="F32" s="7"/>
    </row>
    <row r="33" spans="1:6">
      <c r="A33" s="7"/>
      <c r="B33" s="7"/>
      <c r="C33" s="7"/>
      <c r="D33" s="7"/>
      <c r="E33" s="7"/>
      <c r="F33" s="7"/>
    </row>
    <row r="34" spans="1:6">
      <c r="A34" s="7"/>
      <c r="B34" s="7"/>
      <c r="C34" s="7"/>
      <c r="D34" s="7"/>
      <c r="E34" s="7"/>
      <c r="F34" s="7"/>
    </row>
    <row r="35" spans="1:6">
      <c r="A35" s="7"/>
      <c r="B35" s="7"/>
      <c r="C35" s="7"/>
      <c r="D35" s="7"/>
      <c r="E35" s="7"/>
      <c r="F35" s="7"/>
    </row>
    <row r="36" spans="1:6">
      <c r="A36" s="7"/>
      <c r="B36" s="7"/>
      <c r="C36" s="7"/>
      <c r="D36" s="7"/>
      <c r="E36" s="7"/>
      <c r="F36" s="7"/>
    </row>
    <row r="37" spans="1:6">
      <c r="A37" s="7"/>
      <c r="B37" s="7"/>
      <c r="C37" s="7"/>
      <c r="D37" s="7"/>
      <c r="E37" s="7"/>
      <c r="F37" s="7"/>
    </row>
    <row r="38" spans="1:6">
      <c r="A38" s="7"/>
      <c r="B38" s="7"/>
      <c r="C38" s="7"/>
      <c r="D38" s="7"/>
      <c r="E38" s="7"/>
      <c r="F38" s="7"/>
    </row>
    <row r="39" spans="1:6">
      <c r="A39" s="7"/>
      <c r="B39" s="7"/>
      <c r="C39" s="7"/>
      <c r="D39" s="7"/>
      <c r="E39" s="7"/>
      <c r="F39" s="7"/>
    </row>
    <row r="40" spans="1:6">
      <c r="A40" s="7"/>
      <c r="B40" s="7"/>
      <c r="C40" s="7"/>
      <c r="D40" s="7"/>
      <c r="E40" s="7"/>
      <c r="F40" s="7"/>
    </row>
    <row r="41" spans="1:6">
      <c r="A41" s="7"/>
      <c r="B41" s="7"/>
      <c r="C41" s="7"/>
      <c r="D41" s="7"/>
      <c r="E41" s="7"/>
      <c r="F41" s="7"/>
    </row>
    <row r="42" spans="1:6">
      <c r="A42" s="7"/>
      <c r="B42" s="7"/>
      <c r="C42" s="7"/>
      <c r="D42" s="7"/>
      <c r="E42" s="7"/>
      <c r="F42" s="7"/>
    </row>
    <row r="43" spans="1:6">
      <c r="A43" s="7"/>
      <c r="B43" s="7"/>
      <c r="C43" s="7"/>
      <c r="D43" s="7"/>
      <c r="E43" s="7"/>
      <c r="F43" s="7"/>
    </row>
    <row r="44" spans="1:6">
      <c r="A44" s="7"/>
      <c r="B44" s="7"/>
      <c r="C44" s="7"/>
      <c r="D44" s="7"/>
      <c r="E44" s="7"/>
      <c r="F44" s="7"/>
    </row>
    <row r="45" spans="1:6">
      <c r="A45" s="7"/>
      <c r="B45" s="7"/>
      <c r="C45" s="7"/>
      <c r="D45" s="7"/>
      <c r="E45" s="7"/>
      <c r="F45" s="7"/>
    </row>
    <row r="46" spans="1:6">
      <c r="A46" s="7"/>
      <c r="B46" s="7"/>
      <c r="C46" s="7"/>
      <c r="D46" s="7"/>
      <c r="E46" s="7"/>
      <c r="F46" s="7"/>
    </row>
    <row r="47" spans="1:6">
      <c r="A47" s="7"/>
      <c r="B47" s="7"/>
      <c r="C47" s="7"/>
      <c r="D47" s="7"/>
      <c r="E47" s="7"/>
      <c r="F47" s="7"/>
    </row>
    <row r="48" spans="1:6">
      <c r="A48" s="7"/>
      <c r="B48" s="7"/>
      <c r="C48" s="7"/>
      <c r="D48" s="7"/>
      <c r="E48" s="7"/>
      <c r="F48" s="7"/>
    </row>
    <row r="49" spans="1:6">
      <c r="A49" s="7"/>
      <c r="B49" s="7"/>
      <c r="C49" s="7"/>
      <c r="D49" s="7"/>
      <c r="E49" s="7"/>
      <c r="F49" s="7"/>
    </row>
    <row r="50" spans="1:6">
      <c r="A50" s="7"/>
      <c r="B50" s="7"/>
      <c r="C50" s="7"/>
      <c r="D50" s="7"/>
      <c r="E50" s="7"/>
      <c r="F50" s="7"/>
    </row>
    <row r="51" spans="1:6">
      <c r="A51" s="7"/>
      <c r="B51" s="7"/>
      <c r="C51" s="7"/>
      <c r="D51" s="7"/>
      <c r="E51" s="7"/>
      <c r="F51" s="7"/>
    </row>
    <row r="52" spans="1:6">
      <c r="A52" s="7"/>
      <c r="B52" s="7"/>
      <c r="C52" s="7"/>
      <c r="D52" s="7"/>
      <c r="E52" s="7"/>
      <c r="F52" s="7"/>
    </row>
    <row r="53" spans="1:6">
      <c r="A53" s="7"/>
      <c r="B53" s="7"/>
      <c r="C53" s="7"/>
      <c r="D53" s="7"/>
      <c r="E53" s="7"/>
      <c r="F53" s="7"/>
    </row>
    <row r="54" spans="1:6">
      <c r="A54" s="7"/>
      <c r="B54" s="7"/>
      <c r="C54" s="7"/>
      <c r="D54" s="7"/>
      <c r="E54" s="7"/>
      <c r="F54" s="7"/>
    </row>
    <row r="55" spans="1:6">
      <c r="A55" s="7"/>
      <c r="B55" s="7"/>
      <c r="C55" s="7"/>
      <c r="D55" s="7"/>
      <c r="E55" s="7"/>
      <c r="F55" s="7"/>
    </row>
    <row r="56" spans="1:6">
      <c r="A56" s="7"/>
      <c r="B56" s="7"/>
      <c r="C56" s="7"/>
      <c r="D56" s="7"/>
      <c r="E56" s="7"/>
      <c r="F56" s="7"/>
    </row>
    <row r="57" spans="1:6">
      <c r="A57" s="7"/>
      <c r="B57" s="7"/>
      <c r="C57" s="7"/>
      <c r="D57" s="7"/>
      <c r="E57" s="7"/>
      <c r="F57" s="7"/>
    </row>
    <row r="58" spans="1:6">
      <c r="A58" s="7"/>
      <c r="B58" s="7"/>
      <c r="C58" s="7"/>
      <c r="D58" s="7"/>
      <c r="E58" s="7"/>
      <c r="F58" s="7"/>
    </row>
    <row r="59" spans="1:6">
      <c r="A59" s="7"/>
      <c r="B59" s="7"/>
      <c r="C59" s="7"/>
      <c r="D59" s="7"/>
      <c r="E59" s="7"/>
      <c r="F59" s="7"/>
    </row>
    <row r="60" spans="1:6">
      <c r="A60" s="7"/>
      <c r="B60" s="7"/>
      <c r="C60" s="7"/>
      <c r="D60" s="7"/>
      <c r="E60" s="7"/>
      <c r="F60" s="7"/>
    </row>
    <row r="61" spans="1:6">
      <c r="A61" s="7"/>
      <c r="B61" s="7"/>
      <c r="C61" s="7"/>
      <c r="D61" s="7"/>
      <c r="E61" s="7"/>
      <c r="F61" s="7"/>
    </row>
    <row r="62" spans="1:6">
      <c r="A62" s="7"/>
      <c r="B62" s="7"/>
      <c r="C62" s="7"/>
      <c r="D62" s="7"/>
      <c r="E62" s="7"/>
      <c r="F62" s="7"/>
    </row>
    <row r="63" spans="1:6">
      <c r="A63" s="7"/>
      <c r="B63" s="7"/>
      <c r="C63" s="7"/>
      <c r="D63" s="7"/>
      <c r="E63" s="7"/>
      <c r="F63" s="7"/>
    </row>
    <row r="64" spans="1:6">
      <c r="A64" s="7"/>
      <c r="B64" s="7"/>
      <c r="C64" s="7"/>
      <c r="D64" s="7"/>
      <c r="E64" s="7"/>
      <c r="F64" s="7"/>
    </row>
    <row r="65" spans="1:6">
      <c r="A65" s="7"/>
      <c r="B65" s="7"/>
      <c r="C65" s="7"/>
      <c r="D65" s="7"/>
      <c r="E65" s="7"/>
      <c r="F65" s="7"/>
    </row>
    <row r="66" spans="1:6">
      <c r="A66" s="7"/>
      <c r="B66" s="7"/>
      <c r="C66" s="7"/>
      <c r="D66" s="7"/>
      <c r="E66" s="7"/>
      <c r="F66" s="7"/>
    </row>
    <row r="67" spans="1:6">
      <c r="A67" s="7"/>
      <c r="B67" s="7"/>
      <c r="C67" s="7"/>
      <c r="D67" s="7"/>
      <c r="E67" s="7"/>
      <c r="F67" s="7"/>
    </row>
    <row r="68" spans="1:6">
      <c r="A68" s="7"/>
      <c r="B68" s="7"/>
      <c r="C68" s="7"/>
      <c r="D68" s="7"/>
      <c r="E68" s="7"/>
      <c r="F68" s="7"/>
    </row>
    <row r="69" spans="1:6">
      <c r="A69" s="7"/>
      <c r="B69" s="7"/>
      <c r="C69" s="7"/>
      <c r="D69" s="7"/>
      <c r="E69" s="7"/>
      <c r="F69" s="7"/>
    </row>
    <row r="70" spans="1:6">
      <c r="A70" s="7"/>
      <c r="B70" s="7"/>
      <c r="C70" s="7"/>
      <c r="D70" s="7"/>
      <c r="E70" s="7"/>
      <c r="F70" s="7"/>
    </row>
    <row r="71" spans="1:6">
      <c r="A71" s="7"/>
      <c r="B71" s="7"/>
      <c r="C71" s="7"/>
      <c r="D71" s="7"/>
      <c r="E71" s="7"/>
      <c r="F71" s="7"/>
    </row>
    <row r="72" spans="1:6">
      <c r="A72" s="7"/>
      <c r="B72" s="7"/>
      <c r="C72" s="7"/>
      <c r="D72" s="7"/>
      <c r="E72" s="7"/>
      <c r="F72" s="7"/>
    </row>
    <row r="73" spans="1:6">
      <c r="A73" s="7"/>
      <c r="B73" s="7"/>
      <c r="C73" s="7"/>
      <c r="D73" s="7"/>
      <c r="E73" s="7"/>
      <c r="F73" s="7"/>
    </row>
    <row r="74" spans="1:6">
      <c r="A74" s="7"/>
      <c r="B74" s="7"/>
      <c r="C74" s="7"/>
      <c r="D74" s="7"/>
      <c r="E74" s="7"/>
      <c r="F74" s="7"/>
    </row>
    <row r="75" spans="1:6">
      <c r="A75" s="7"/>
      <c r="B75" s="7"/>
      <c r="C75" s="7"/>
      <c r="D75" s="7"/>
      <c r="E75" s="7"/>
      <c r="F75" s="7"/>
    </row>
    <row r="76" spans="1:6">
      <c r="A76" s="7"/>
      <c r="B76" s="7"/>
      <c r="C76" s="7"/>
      <c r="D76" s="7"/>
      <c r="E76" s="7"/>
      <c r="F76" s="7"/>
    </row>
    <row r="77" spans="1:6">
      <c r="A77" s="7"/>
      <c r="B77" s="7"/>
      <c r="C77" s="7"/>
      <c r="D77" s="7"/>
      <c r="E77" s="7"/>
      <c r="F77" s="7"/>
    </row>
    <row r="78" spans="1:6">
      <c r="A78" s="7"/>
      <c r="B78" s="7"/>
      <c r="C78" s="7"/>
      <c r="D78" s="7"/>
      <c r="E78" s="7"/>
      <c r="F78" s="7"/>
    </row>
    <row r="79" spans="1:6">
      <c r="A79" s="7"/>
      <c r="B79" s="7"/>
      <c r="C79" s="7"/>
      <c r="D79" s="7"/>
      <c r="E79" s="7"/>
      <c r="F79" s="7"/>
    </row>
    <row r="80" spans="1:6">
      <c r="A80" s="7"/>
      <c r="B80" s="7"/>
      <c r="C80" s="7"/>
      <c r="D80" s="7"/>
      <c r="E80" s="7"/>
      <c r="F80" s="7"/>
    </row>
    <row r="81" spans="1:6">
      <c r="A81" s="7"/>
      <c r="B81" s="7"/>
      <c r="C81" s="7"/>
      <c r="D81" s="7"/>
      <c r="E81" s="7"/>
      <c r="F81" s="7"/>
    </row>
    <row r="82" spans="1:6">
      <c r="A82" s="7"/>
      <c r="B82" s="7"/>
      <c r="C82" s="7"/>
      <c r="D82" s="7"/>
      <c r="E82" s="7"/>
      <c r="F82" s="7"/>
    </row>
    <row r="83" spans="1:6">
      <c r="A83" s="7"/>
      <c r="B83" s="7"/>
      <c r="C83" s="7"/>
      <c r="D83" s="7"/>
      <c r="E83" s="7"/>
      <c r="F83" s="7"/>
    </row>
    <row r="84" spans="1:6">
      <c r="A84" s="7"/>
      <c r="B84" s="7"/>
      <c r="C84" s="7"/>
      <c r="D84" s="7"/>
      <c r="E84" s="7"/>
      <c r="F84" s="7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84"/>
  <sheetViews>
    <sheetView workbookViewId="0">
      <selection activeCell="F11" sqref="F11"/>
    </sheetView>
  </sheetViews>
  <sheetFormatPr defaultColWidth="9" defaultRowHeight="13.5" outlineLevelCol="5"/>
  <cols>
    <col min="1" max="3" width="27.375" customWidth="1"/>
    <col min="4" max="4" width="39.125" customWidth="1"/>
    <col min="5" max="6" width="27.375" customWidth="1"/>
  </cols>
  <sheetData>
    <row r="2" ht="15" spans="1:6">
      <c r="A2" s="1" t="s">
        <v>1</v>
      </c>
      <c r="B2" s="1" t="s">
        <v>246</v>
      </c>
      <c r="C2" s="1" t="s">
        <v>247</v>
      </c>
      <c r="D2" s="2" t="s">
        <v>248</v>
      </c>
      <c r="E2" s="2" t="s">
        <v>249</v>
      </c>
      <c r="F2" s="2" t="s">
        <v>250</v>
      </c>
    </row>
    <row r="3" ht="15" spans="1:6">
      <c r="A3" s="3" t="s">
        <v>10</v>
      </c>
      <c r="B3" s="3" t="s">
        <v>251</v>
      </c>
      <c r="C3" s="3" t="s">
        <v>252</v>
      </c>
      <c r="D3" s="4" t="s">
        <v>253</v>
      </c>
      <c r="E3" s="4" t="s">
        <v>254</v>
      </c>
      <c r="F3" s="4" t="s">
        <v>255</v>
      </c>
    </row>
    <row r="4" spans="1:6">
      <c r="A4" s="5" t="s">
        <v>256</v>
      </c>
      <c r="B4" s="5" t="s">
        <v>257</v>
      </c>
      <c r="C4" s="5">
        <v>1</v>
      </c>
      <c r="D4" s="5"/>
      <c r="E4" s="5"/>
      <c r="F4" s="5"/>
    </row>
    <row r="5" spans="1:6">
      <c r="A5" s="5" t="s">
        <v>258</v>
      </c>
      <c r="B5" s="5"/>
      <c r="C5" s="5"/>
      <c r="D5" s="5" t="s">
        <v>259</v>
      </c>
      <c r="E5" s="5"/>
      <c r="F5" s="5"/>
    </row>
    <row r="6" spans="1:6">
      <c r="A6" s="5" t="s">
        <v>260</v>
      </c>
      <c r="B6" s="5"/>
      <c r="C6" s="5"/>
      <c r="D6" s="5"/>
      <c r="E6" s="5">
        <v>6020101</v>
      </c>
      <c r="F6" s="5">
        <v>5030601</v>
      </c>
    </row>
    <row r="7" spans="1:6">
      <c r="A7" s="5"/>
      <c r="B7" s="5"/>
      <c r="C7" s="5"/>
      <c r="D7" s="5"/>
      <c r="E7" s="5"/>
      <c r="F7" s="5"/>
    </row>
    <row r="8" spans="1:6">
      <c r="A8" s="5"/>
      <c r="B8" s="5"/>
      <c r="C8" s="5"/>
      <c r="D8" s="5"/>
      <c r="E8" s="5"/>
      <c r="F8" s="5"/>
    </row>
    <row r="9" spans="1:6">
      <c r="A9" s="5"/>
      <c r="B9" s="5"/>
      <c r="C9" s="5"/>
      <c r="D9" s="5"/>
      <c r="E9" s="5"/>
      <c r="F9" s="5"/>
    </row>
    <row r="10" spans="1:6">
      <c r="A10" s="5"/>
      <c r="B10" s="5"/>
      <c r="C10" s="5"/>
      <c r="D10" s="5"/>
      <c r="E10" s="5"/>
      <c r="F10" s="5"/>
    </row>
    <row r="11" spans="1:6">
      <c r="A11" s="5"/>
      <c r="B11" s="5"/>
      <c r="C11" s="5"/>
      <c r="D11" s="5"/>
      <c r="E11" s="5"/>
      <c r="F11" s="5"/>
    </row>
    <row r="12" spans="1:6">
      <c r="A12" s="5"/>
      <c r="B12" s="5"/>
      <c r="C12" s="5"/>
      <c r="D12" s="5"/>
      <c r="E12" s="5"/>
      <c r="F12" s="5"/>
    </row>
    <row r="13" spans="1:6">
      <c r="A13" s="5"/>
      <c r="B13" s="5"/>
      <c r="C13" s="5"/>
      <c r="D13" s="5"/>
      <c r="E13" s="5"/>
      <c r="F13" s="5"/>
    </row>
    <row r="14" spans="1:6">
      <c r="A14" s="5"/>
      <c r="B14" s="5"/>
      <c r="C14" s="5"/>
      <c r="D14" s="5"/>
      <c r="E14" s="5"/>
      <c r="F14" s="5"/>
    </row>
    <row r="15" spans="1:6">
      <c r="A15" s="5"/>
      <c r="B15" s="5"/>
      <c r="C15" s="5"/>
      <c r="D15" s="5"/>
      <c r="E15" s="5"/>
      <c r="F15" s="5"/>
    </row>
    <row r="16" spans="1:6">
      <c r="A16" s="5"/>
      <c r="B16" s="5"/>
      <c r="C16" s="5"/>
      <c r="D16" s="5"/>
      <c r="E16" s="5"/>
      <c r="F16" s="5"/>
    </row>
    <row r="17" spans="1:6">
      <c r="A17" s="5"/>
      <c r="B17" s="5"/>
      <c r="C17" s="5"/>
      <c r="D17" s="5"/>
      <c r="E17" s="5"/>
      <c r="F17" s="5"/>
    </row>
    <row r="18" spans="1:6">
      <c r="A18" s="5"/>
      <c r="B18" s="5"/>
      <c r="C18" s="5"/>
      <c r="D18" s="5"/>
      <c r="E18" s="5"/>
      <c r="F18" s="5"/>
    </row>
    <row r="19" spans="1:6">
      <c r="A19" s="6"/>
      <c r="B19" s="6"/>
      <c r="C19" s="6"/>
      <c r="D19" s="6"/>
      <c r="E19" s="6"/>
      <c r="F19" s="6"/>
    </row>
    <row r="20" spans="1:6">
      <c r="A20" s="6"/>
      <c r="B20" s="6"/>
      <c r="C20" s="6"/>
      <c r="D20" s="6"/>
      <c r="E20" s="6"/>
      <c r="F20" s="6"/>
    </row>
    <row r="21" spans="1:6">
      <c r="A21" s="6"/>
      <c r="B21" s="6"/>
      <c r="C21" s="6"/>
      <c r="D21" s="6"/>
      <c r="E21" s="6"/>
      <c r="F21" s="6"/>
    </row>
    <row r="22" spans="1:6">
      <c r="A22" s="6"/>
      <c r="B22" s="6"/>
      <c r="C22" s="6"/>
      <c r="D22" s="6"/>
      <c r="E22" s="6"/>
      <c r="F22" s="6"/>
    </row>
    <row r="23" spans="1:6">
      <c r="A23" s="6"/>
      <c r="B23" s="6"/>
      <c r="C23" s="6"/>
      <c r="D23" s="6"/>
      <c r="E23" s="6"/>
      <c r="F23" s="6"/>
    </row>
    <row r="24" spans="1:6">
      <c r="A24" s="6"/>
      <c r="B24" s="6"/>
      <c r="C24" s="6"/>
      <c r="D24" s="6"/>
      <c r="E24" s="6"/>
      <c r="F24" s="6"/>
    </row>
    <row r="25" spans="1:6">
      <c r="A25" s="7"/>
      <c r="B25" s="7"/>
      <c r="C25" s="7"/>
      <c r="D25" s="7"/>
      <c r="E25" s="7"/>
      <c r="F25" s="7"/>
    </row>
    <row r="26" spans="1:6">
      <c r="A26" s="7"/>
      <c r="B26" s="7"/>
      <c r="C26" s="7"/>
      <c r="D26" s="7"/>
      <c r="E26" s="7"/>
      <c r="F26" s="7"/>
    </row>
    <row r="27" spans="1:6">
      <c r="A27" s="7"/>
      <c r="B27" s="7"/>
      <c r="C27" s="7"/>
      <c r="D27" s="7"/>
      <c r="E27" s="7"/>
      <c r="F27" s="7"/>
    </row>
    <row r="28" spans="1:6">
      <c r="A28" s="7"/>
      <c r="B28" s="7"/>
      <c r="C28" s="7"/>
      <c r="D28" s="7"/>
      <c r="E28" s="7"/>
      <c r="F28" s="7"/>
    </row>
    <row r="29" spans="1:6">
      <c r="A29" s="7"/>
      <c r="B29" s="7"/>
      <c r="C29" s="7"/>
      <c r="D29" s="7"/>
      <c r="E29" s="7"/>
      <c r="F29" s="7"/>
    </row>
    <row r="30" spans="1:6">
      <c r="A30" s="7"/>
      <c r="B30" s="7"/>
      <c r="C30" s="7"/>
      <c r="D30" s="7"/>
      <c r="E30" s="7"/>
      <c r="F30" s="7"/>
    </row>
    <row r="31" spans="1:6">
      <c r="A31" s="7"/>
      <c r="B31" s="7"/>
      <c r="C31" s="7"/>
      <c r="D31" s="7"/>
      <c r="E31" s="7"/>
      <c r="F31" s="7"/>
    </row>
    <row r="32" spans="1:6">
      <c r="A32" s="7"/>
      <c r="B32" s="7"/>
      <c r="C32" s="7"/>
      <c r="D32" s="7"/>
      <c r="E32" s="7"/>
      <c r="F32" s="7"/>
    </row>
    <row r="33" spans="1:6">
      <c r="A33" s="7"/>
      <c r="B33" s="7"/>
      <c r="C33" s="7"/>
      <c r="D33" s="7"/>
      <c r="E33" s="7"/>
      <c r="F33" s="7"/>
    </row>
    <row r="34" spans="1:6">
      <c r="A34" s="7"/>
      <c r="B34" s="7"/>
      <c r="C34" s="7"/>
      <c r="D34" s="7"/>
      <c r="E34" s="7"/>
      <c r="F34" s="7"/>
    </row>
    <row r="35" spans="1:6">
      <c r="A35" s="7"/>
      <c r="B35" s="7"/>
      <c r="C35" s="7"/>
      <c r="D35" s="7"/>
      <c r="E35" s="7"/>
      <c r="F35" s="7"/>
    </row>
    <row r="36" spans="1:6">
      <c r="A36" s="7"/>
      <c r="B36" s="7"/>
      <c r="C36" s="7"/>
      <c r="D36" s="7"/>
      <c r="E36" s="7"/>
      <c r="F36" s="7"/>
    </row>
    <row r="37" spans="1:6">
      <c r="A37" s="7"/>
      <c r="B37" s="7"/>
      <c r="C37" s="7"/>
      <c r="D37" s="7"/>
      <c r="E37" s="7"/>
      <c r="F37" s="7"/>
    </row>
    <row r="38" spans="1:6">
      <c r="A38" s="7"/>
      <c r="B38" s="7"/>
      <c r="C38" s="7"/>
      <c r="D38" s="7"/>
      <c r="E38" s="7"/>
      <c r="F38" s="7"/>
    </row>
    <row r="39" spans="1:6">
      <c r="A39" s="7"/>
      <c r="B39" s="7"/>
      <c r="C39" s="7"/>
      <c r="D39" s="7"/>
      <c r="E39" s="7"/>
      <c r="F39" s="7"/>
    </row>
    <row r="40" spans="1:6">
      <c r="A40" s="7"/>
      <c r="B40" s="7"/>
      <c r="C40" s="7"/>
      <c r="D40" s="7"/>
      <c r="E40" s="7"/>
      <c r="F40" s="7"/>
    </row>
    <row r="41" spans="1:6">
      <c r="A41" s="7"/>
      <c r="B41" s="7"/>
      <c r="C41" s="7"/>
      <c r="D41" s="7"/>
      <c r="E41" s="7"/>
      <c r="F41" s="7"/>
    </row>
    <row r="42" spans="1:6">
      <c r="A42" s="7"/>
      <c r="B42" s="7"/>
      <c r="C42" s="7"/>
      <c r="D42" s="7"/>
      <c r="E42" s="7"/>
      <c r="F42" s="7"/>
    </row>
    <row r="43" spans="1:6">
      <c r="A43" s="7"/>
      <c r="B43" s="7"/>
      <c r="C43" s="7"/>
      <c r="D43" s="7"/>
      <c r="E43" s="7"/>
      <c r="F43" s="7"/>
    </row>
    <row r="44" spans="1:6">
      <c r="A44" s="7"/>
      <c r="B44" s="7"/>
      <c r="C44" s="7"/>
      <c r="D44" s="7"/>
      <c r="E44" s="7"/>
      <c r="F44" s="7"/>
    </row>
    <row r="45" spans="1:6">
      <c r="A45" s="7"/>
      <c r="B45" s="7"/>
      <c r="C45" s="7"/>
      <c r="D45" s="7"/>
      <c r="E45" s="7"/>
      <c r="F45" s="7"/>
    </row>
    <row r="46" spans="1:6">
      <c r="A46" s="7"/>
      <c r="B46" s="7"/>
      <c r="C46" s="7"/>
      <c r="D46" s="7"/>
      <c r="E46" s="7"/>
      <c r="F46" s="7"/>
    </row>
    <row r="47" spans="1:6">
      <c r="A47" s="7"/>
      <c r="B47" s="7"/>
      <c r="C47" s="7"/>
      <c r="D47" s="7"/>
      <c r="E47" s="7"/>
      <c r="F47" s="7"/>
    </row>
    <row r="48" spans="1:6">
      <c r="A48" s="7"/>
      <c r="B48" s="7"/>
      <c r="C48" s="7"/>
      <c r="D48" s="7"/>
      <c r="E48" s="7"/>
      <c r="F48" s="7"/>
    </row>
    <row r="49" spans="1:6">
      <c r="A49" s="7"/>
      <c r="B49" s="7"/>
      <c r="C49" s="7"/>
      <c r="D49" s="7"/>
      <c r="E49" s="7"/>
      <c r="F49" s="7"/>
    </row>
    <row r="50" spans="1:6">
      <c r="A50" s="7"/>
      <c r="B50" s="7"/>
      <c r="C50" s="7"/>
      <c r="D50" s="7"/>
      <c r="E50" s="7"/>
      <c r="F50" s="7"/>
    </row>
    <row r="51" spans="1:6">
      <c r="A51" s="7"/>
      <c r="B51" s="7"/>
      <c r="C51" s="7"/>
      <c r="D51" s="7"/>
      <c r="E51" s="7"/>
      <c r="F51" s="7"/>
    </row>
    <row r="52" spans="1:6">
      <c r="A52" s="7"/>
      <c r="B52" s="7"/>
      <c r="C52" s="7"/>
      <c r="D52" s="7"/>
      <c r="E52" s="7"/>
      <c r="F52" s="7"/>
    </row>
    <row r="53" spans="1:6">
      <c r="A53" s="7"/>
      <c r="B53" s="7"/>
      <c r="C53" s="7"/>
      <c r="D53" s="7"/>
      <c r="E53" s="7"/>
      <c r="F53" s="7"/>
    </row>
    <row r="54" spans="1:6">
      <c r="A54" s="7"/>
      <c r="B54" s="7"/>
      <c r="C54" s="7"/>
      <c r="D54" s="7"/>
      <c r="E54" s="7"/>
      <c r="F54" s="7"/>
    </row>
    <row r="55" spans="1:6">
      <c r="A55" s="7"/>
      <c r="B55" s="7"/>
      <c r="C55" s="7"/>
      <c r="D55" s="7"/>
      <c r="E55" s="7"/>
      <c r="F55" s="7"/>
    </row>
    <row r="56" spans="1:6">
      <c r="A56" s="7"/>
      <c r="B56" s="7"/>
      <c r="C56" s="7"/>
      <c r="D56" s="7"/>
      <c r="E56" s="7"/>
      <c r="F56" s="7"/>
    </row>
    <row r="57" spans="1:6">
      <c r="A57" s="7"/>
      <c r="B57" s="7"/>
      <c r="C57" s="7"/>
      <c r="D57" s="7"/>
      <c r="E57" s="7"/>
      <c r="F57" s="7"/>
    </row>
    <row r="58" spans="1:6">
      <c r="A58" s="7"/>
      <c r="B58" s="7"/>
      <c r="C58" s="7"/>
      <c r="D58" s="7"/>
      <c r="E58" s="7"/>
      <c r="F58" s="7"/>
    </row>
    <row r="59" spans="1:6">
      <c r="A59" s="7"/>
      <c r="B59" s="7"/>
      <c r="C59" s="7"/>
      <c r="D59" s="7"/>
      <c r="E59" s="7"/>
      <c r="F59" s="7"/>
    </row>
    <row r="60" spans="1:6">
      <c r="A60" s="7"/>
      <c r="B60" s="7"/>
      <c r="C60" s="7"/>
      <c r="D60" s="7"/>
      <c r="E60" s="7"/>
      <c r="F60" s="7"/>
    </row>
    <row r="61" spans="1:6">
      <c r="A61" s="7"/>
      <c r="B61" s="7"/>
      <c r="C61" s="7"/>
      <c r="D61" s="7"/>
      <c r="E61" s="7"/>
      <c r="F61" s="7"/>
    </row>
    <row r="62" spans="1:6">
      <c r="A62" s="7"/>
      <c r="B62" s="7"/>
      <c r="C62" s="7"/>
      <c r="D62" s="7"/>
      <c r="E62" s="7"/>
      <c r="F62" s="7"/>
    </row>
    <row r="63" spans="1:6">
      <c r="A63" s="7"/>
      <c r="B63" s="7"/>
      <c r="C63" s="7"/>
      <c r="D63" s="7"/>
      <c r="E63" s="7"/>
      <c r="F63" s="7"/>
    </row>
    <row r="64" spans="1:6">
      <c r="A64" s="7"/>
      <c r="B64" s="7"/>
      <c r="C64" s="7"/>
      <c r="D64" s="7"/>
      <c r="E64" s="7"/>
      <c r="F64" s="7"/>
    </row>
    <row r="65" spans="1:6">
      <c r="A65" s="7"/>
      <c r="B65" s="7"/>
      <c r="C65" s="7"/>
      <c r="D65" s="7"/>
      <c r="E65" s="7"/>
      <c r="F65" s="7"/>
    </row>
    <row r="66" spans="1:6">
      <c r="A66" s="7"/>
      <c r="B66" s="7"/>
      <c r="C66" s="7"/>
      <c r="D66" s="7"/>
      <c r="E66" s="7"/>
      <c r="F66" s="7"/>
    </row>
    <row r="67" spans="1:6">
      <c r="A67" s="7"/>
      <c r="B67" s="7"/>
      <c r="C67" s="7"/>
      <c r="D67" s="7"/>
      <c r="E67" s="7"/>
      <c r="F67" s="7"/>
    </row>
    <row r="68" spans="1:6">
      <c r="A68" s="7"/>
      <c r="B68" s="7"/>
      <c r="C68" s="7"/>
      <c r="D68" s="7"/>
      <c r="E68" s="7"/>
      <c r="F68" s="7"/>
    </row>
    <row r="69" spans="1:6">
      <c r="A69" s="7"/>
      <c r="B69" s="7"/>
      <c r="C69" s="7"/>
      <c r="D69" s="7"/>
      <c r="E69" s="7"/>
      <c r="F69" s="7"/>
    </row>
    <row r="70" spans="1:6">
      <c r="A70" s="7"/>
      <c r="B70" s="7"/>
      <c r="C70" s="7"/>
      <c r="D70" s="7"/>
      <c r="E70" s="7"/>
      <c r="F70" s="7"/>
    </row>
    <row r="71" spans="1:6">
      <c r="A71" s="7"/>
      <c r="B71" s="7"/>
      <c r="C71" s="7"/>
      <c r="D71" s="7"/>
      <c r="E71" s="7"/>
      <c r="F71" s="7"/>
    </row>
    <row r="72" spans="1:6">
      <c r="A72" s="7"/>
      <c r="B72" s="7"/>
      <c r="C72" s="7"/>
      <c r="D72" s="7"/>
      <c r="E72" s="7"/>
      <c r="F72" s="7"/>
    </row>
    <row r="73" spans="1:6">
      <c r="A73" s="7"/>
      <c r="B73" s="7"/>
      <c r="C73" s="7"/>
      <c r="D73" s="7"/>
      <c r="E73" s="7"/>
      <c r="F73" s="7"/>
    </row>
    <row r="74" spans="1:6">
      <c r="A74" s="7"/>
      <c r="B74" s="7"/>
      <c r="C74" s="7"/>
      <c r="D74" s="7"/>
      <c r="E74" s="7"/>
      <c r="F74" s="7"/>
    </row>
    <row r="75" spans="1:6">
      <c r="A75" s="7"/>
      <c r="B75" s="7"/>
      <c r="C75" s="7"/>
      <c r="D75" s="7"/>
      <c r="E75" s="7"/>
      <c r="F75" s="7"/>
    </row>
    <row r="76" spans="1:6">
      <c r="A76" s="7"/>
      <c r="B76" s="7"/>
      <c r="C76" s="7"/>
      <c r="D76" s="7"/>
      <c r="E76" s="7"/>
      <c r="F76" s="7"/>
    </row>
    <row r="77" spans="1:6">
      <c r="A77" s="7"/>
      <c r="B77" s="7"/>
      <c r="C77" s="7"/>
      <c r="D77" s="7"/>
      <c r="E77" s="7"/>
      <c r="F77" s="7"/>
    </row>
    <row r="78" spans="1:6">
      <c r="A78" s="7"/>
      <c r="B78" s="7"/>
      <c r="C78" s="7"/>
      <c r="D78" s="7"/>
      <c r="E78" s="7"/>
      <c r="F78" s="7"/>
    </row>
    <row r="79" spans="1:6">
      <c r="A79" s="7"/>
      <c r="B79" s="7"/>
      <c r="C79" s="7"/>
      <c r="D79" s="7"/>
      <c r="E79" s="7"/>
      <c r="F79" s="7"/>
    </row>
    <row r="80" spans="1:6">
      <c r="A80" s="7"/>
      <c r="B80" s="7"/>
      <c r="C80" s="7"/>
      <c r="D80" s="7"/>
      <c r="E80" s="7"/>
      <c r="F80" s="7"/>
    </row>
    <row r="81" spans="1:6">
      <c r="A81" s="7"/>
      <c r="B81" s="7"/>
      <c r="C81" s="7"/>
      <c r="D81" s="7"/>
      <c r="E81" s="7"/>
      <c r="F81" s="7"/>
    </row>
    <row r="82" spans="1:6">
      <c r="A82" s="7"/>
      <c r="B82" s="7"/>
      <c r="C82" s="7"/>
      <c r="D82" s="7"/>
      <c r="E82" s="7"/>
      <c r="F82" s="7"/>
    </row>
    <row r="83" spans="1:6">
      <c r="A83" s="7"/>
      <c r="B83" s="7"/>
      <c r="C83" s="7"/>
      <c r="D83" s="7"/>
      <c r="E83" s="7"/>
      <c r="F83" s="7"/>
    </row>
    <row r="84" spans="1:6">
      <c r="A84" s="7"/>
      <c r="B84" s="7"/>
      <c r="C84" s="7"/>
      <c r="D84" s="7"/>
      <c r="E84" s="7"/>
      <c r="F84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SingleMerge_Init_Extra</vt:lpstr>
      <vt:lpstr>SingleMerge_Prop_Extra</vt:lpstr>
      <vt:lpstr>SingleMerge_Lock_Extra</vt:lpstr>
      <vt:lpstr>SingleMerge_Order_Extra</vt:lpstr>
      <vt:lpstr>SingleMerge_Book_Extra</vt:lpstr>
      <vt:lpstr>SingleMerge_BuyActivity_Extra</vt:lpstr>
      <vt:lpstr>SingleMerge_Server_Extra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genme</dc:creator>
  <cp:lastModifiedBy>大热天</cp:lastModifiedBy>
  <dcterms:created xsi:type="dcterms:W3CDTF">2024-06-21T16:06:00Z</dcterms:created>
  <dcterms:modified xsi:type="dcterms:W3CDTF">2026-03-23T10:45:55Z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B06B13EDDB7036C5B0A073662D800394_43</vt:lpwstr>
  </property>
  <property fmtid="{D5CDD505-2E9C-101B-9397-08002B2CF9AE}" pid="3" name="KSOProductBuildVer">
    <vt:lpwstr>2052-12.1.0.24657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