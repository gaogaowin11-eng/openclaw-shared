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4175" activeTab="1"/>
  </bookViews>
  <sheets>
    <sheet name="MiniGameInit_Extra" sheetId="2" r:id="rId1"/>
    <sheet name="MiniGameProp_Extra" sheetId="3" r:id="rId2"/>
  </sheets>
  <definedNames>
    <definedName name="_xlnm._FilterDatabase" localSheetId="0" hidden="1">MiniGameInit_Extra!$B$3:$G$31</definedName>
    <definedName name="div">_xlfn.LAMBDA(_xlpm.x,IF(_xlpm.x&gt;99999,div(_xlpm.x/10000),_xlpm.x))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<sst xmlns="http://schemas.openxmlformats.org/spreadsheetml/2006/main" count="201" uniqueCount="119">
  <si>
    <t>0已经解锁，1未解锁，2未解锁有箱子，3不可解锁</t>
  </si>
  <si>
    <t>id</t>
  </si>
  <si>
    <t>格子x坐标</t>
  </si>
  <si>
    <t>格子y坐标</t>
  </si>
  <si>
    <t>存放物品Id</t>
  </si>
  <si>
    <t>格子状态</t>
  </si>
  <si>
    <t>格子遮罩资源名Bundle</t>
  </si>
  <si>
    <t>格子遮罩资源名</t>
  </si>
  <si>
    <t>锁定底板资源名称</t>
  </si>
  <si>
    <t>id#id</t>
  </si>
  <si>
    <t>x#number</t>
  </si>
  <si>
    <t>y#number</t>
  </si>
  <si>
    <t>itemId#number</t>
  </si>
  <si>
    <t>status#number</t>
  </si>
  <si>
    <t>bundleName#string</t>
  </si>
  <si>
    <t>box_iconList#[]</t>
  </si>
  <si>
    <t>downIcon#string</t>
  </si>
  <si>
    <t>PreMergeGame</t>
  </si>
  <si>
    <t>Image/item_bag|Image/item_box_01|Image/item_box_02</t>
  </si>
  <si>
    <t>Image/item_mask</t>
  </si>
  <si>
    <t>ID</t>
  </si>
  <si>
    <t>多语言提示（方便阅读）</t>
  </si>
  <si>
    <t>项目名称</t>
  </si>
  <si>
    <t>图片路径</t>
  </si>
  <si>
    <t>类型</t>
  </si>
  <si>
    <t>描述</t>
  </si>
  <si>
    <t>点击次数</t>
  </si>
  <si>
    <t>点击cd</t>
  </si>
  <si>
    <t>种类id</t>
  </si>
  <si>
    <t>订单解锁等级</t>
  </si>
  <si>
    <t>难度等级</t>
  </si>
  <si>
    <t>等级</t>
  </si>
  <si>
    <t>是否出售</t>
  </si>
  <si>
    <t>出售类型</t>
  </si>
  <si>
    <t>出售数量</t>
  </si>
  <si>
    <t>合成id</t>
  </si>
  <si>
    <t>参数1</t>
  </si>
  <si>
    <t>参数2</t>
  </si>
  <si>
    <t>参数3</t>
  </si>
  <si>
    <t>参数4</t>
  </si>
  <si>
    <t>参数5</t>
  </si>
  <si>
    <t>参数6</t>
  </si>
  <si>
    <t>参数7</t>
  </si>
  <si>
    <t>参数8</t>
  </si>
  <si>
    <t>参数9</t>
  </si>
  <si>
    <t>参数10</t>
  </si>
  <si>
    <t>id#number</t>
  </si>
  <si>
    <t>languageTips#string</t>
  </si>
  <si>
    <t>name#string</t>
  </si>
  <si>
    <t>icon#string</t>
  </si>
  <si>
    <t>type#number</t>
  </si>
  <si>
    <t>des#string</t>
  </si>
  <si>
    <t>clickCount#number</t>
  </si>
  <si>
    <t>clickCD#number</t>
  </si>
  <si>
    <t>typeId#number</t>
  </si>
  <si>
    <t>unlockLevel#number</t>
  </si>
  <si>
    <t>diffLevel#number</t>
  </si>
  <si>
    <t>level#number</t>
  </si>
  <si>
    <t>isSell#number</t>
  </si>
  <si>
    <t>sellType#number</t>
  </si>
  <si>
    <t>sellCount#number</t>
  </si>
  <si>
    <t>blessId#number</t>
  </si>
  <si>
    <t>param1#string</t>
  </si>
  <si>
    <t>param2#string</t>
  </si>
  <si>
    <t>param3#string</t>
  </si>
  <si>
    <t>param4#string</t>
  </si>
  <si>
    <t>param5#string</t>
  </si>
  <si>
    <t>param6#string</t>
  </si>
  <si>
    <t>param7#string</t>
  </si>
  <si>
    <t>param8#string</t>
  </si>
  <si>
    <t>param9#string</t>
  </si>
  <si>
    <t>param10#string</t>
  </si>
  <si>
    <t>一瓶葡萄酒（4.3DEMO不用）</t>
  </si>
  <si>
    <t>mg10000101</t>
  </si>
  <si>
    <t>PreMergeGame|UnitIcon/item_p02_01</t>
  </si>
  <si>
    <t>冰镇葡萄酒</t>
  </si>
  <si>
    <t>mg10000102</t>
  </si>
  <si>
    <t>PreMergeGame|UnitIcon/item_p02_02</t>
  </si>
  <si>
    <t>名贵葡萄酒</t>
  </si>
  <si>
    <t>mg10000103</t>
  </si>
  <si>
    <t>PreMergeGame|UnitIcon/item_p02_03</t>
  </si>
  <si>
    <t>木制酒架</t>
  </si>
  <si>
    <t>mg10000104</t>
  </si>
  <si>
    <t>PreMergeGame|UnitIcon/item_p02_04</t>
  </si>
  <si>
    <t>3|1</t>
  </si>
  <si>
    <t>冰镇葡萄酒桶</t>
  </si>
  <si>
    <t>mg10000105</t>
  </si>
  <si>
    <t>PreMergeGame|UnitIcon/item_p02_05</t>
  </si>
  <si>
    <t>7|3|1</t>
  </si>
  <si>
    <t>葡萄酒桶</t>
  </si>
  <si>
    <t>mg10000106</t>
  </si>
  <si>
    <t>PreMergeGame|UnitIcon/item_p02_06</t>
  </si>
  <si>
    <t>素酿清酒</t>
  </si>
  <si>
    <t>mg10000201</t>
  </si>
  <si>
    <t>PreMergeGame|UnitIcon/item_p1_01</t>
  </si>
  <si>
    <t>柠香佐酒</t>
  </si>
  <si>
    <t>mg10000202</t>
  </si>
  <si>
    <t>PreMergeGame|UnitIcon/item_p1_02</t>
  </si>
  <si>
    <t>柠薄沁酒</t>
  </si>
  <si>
    <t>mg10000203</t>
  </si>
  <si>
    <t>PreMergeGame|UnitIcon/item_p1_03</t>
  </si>
  <si>
    <t>莓柠鸡尾酒</t>
  </si>
  <si>
    <t>mg10000204</t>
  </si>
  <si>
    <t>PreMergeGame|UnitIcon/item_p1_04</t>
  </si>
  <si>
    <t>柠果绮梦鸡尾酒</t>
  </si>
  <si>
    <t>mg10000205</t>
  </si>
  <si>
    <t>PreMergeGame|UnitIcon/item_p1_05</t>
  </si>
  <si>
    <t>莫吉托</t>
  </si>
  <si>
    <t>mg10000206</t>
  </si>
  <si>
    <t>PreMergeGame|UnitIcon/item_p1_08</t>
  </si>
  <si>
    <t>柠薄橙香酿</t>
  </si>
  <si>
    <t>mg10000507</t>
  </si>
  <si>
    <t>PreMergeGame|UnitIcon/item_p1_06</t>
  </si>
  <si>
    <t>柠橙幻彩酌</t>
  </si>
  <si>
    <t>mg10000608</t>
  </si>
  <si>
    <t>PreMergeGame|UnitIcon/item_p1_07</t>
  </si>
  <si>
    <t>彩虹浴球</t>
  </si>
  <si>
    <t>mg10000708</t>
  </si>
  <si>
    <t>PreMergeGame|UnitIcon/it9_2_5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</si>
</sst>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10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0" fillId="4" borderId="1" xfId="0" applyFill="1" applyBorder="1">
      <alignment vertical="center"/>
    </xf>
    <xf numFmtId="0" fontId="2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Font="1">
      <alignment vertical="center"/>
    </xf>
    <xf numFmtId="0" fontId="2" fillId="5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opLeftCell="D1" workbookViewId="0">
      <selection activeCell="D38" sqref="D38"/>
    </sheetView>
  </sheetViews>
  <sheetFormatPr defaultColWidth="9" defaultRowHeight="13.5" outlineLevelCol="7"/>
  <cols>
    <col min="1" max="2" width="20.0916666666667" customWidth="1"/>
    <col min="3" max="3" width="22.8833333333333" customWidth="1"/>
    <col min="4" max="4" width="32.6333333333333" customWidth="1"/>
    <col min="5" max="5" width="26.625" customWidth="1"/>
    <col min="6" max="6" width="32.625" customWidth="1"/>
    <col min="7" max="7" width="75.25" customWidth="1"/>
    <col min="8" max="8" width="32.625" customWidth="1"/>
  </cols>
  <sheetData>
    <row r="1" spans="5:5">
      <c r="E1" t="s">
        <v>0</v>
      </c>
    </row>
    <row r="2" ht="15" spans="1:8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ht="15" spans="1:8">
      <c r="A3" s="15" t="s">
        <v>9</v>
      </c>
      <c r="B3" s="15" t="s">
        <v>10</v>
      </c>
      <c r="C3" s="15" t="s">
        <v>11</v>
      </c>
      <c r="D3" s="15" t="s">
        <v>12</v>
      </c>
      <c r="E3" s="15" t="s">
        <v>13</v>
      </c>
      <c r="F3" s="15" t="s">
        <v>14</v>
      </c>
      <c r="G3" s="15" t="s">
        <v>15</v>
      </c>
      <c r="H3" s="15" t="s">
        <v>16</v>
      </c>
    </row>
    <row r="4" spans="1:8">
      <c r="A4" s="6">
        <f t="shared" ref="A4:A31" si="0">B4*100+C4</f>
        <v>0</v>
      </c>
      <c r="B4" s="6">
        <v>0</v>
      </c>
      <c r="C4" s="6">
        <v>0</v>
      </c>
      <c r="D4" s="16">
        <v>10000101</v>
      </c>
      <c r="E4" s="6">
        <v>2</v>
      </c>
      <c r="F4" s="6" t="s">
        <v>17</v>
      </c>
      <c r="G4" s="6" t="s">
        <v>18</v>
      </c>
      <c r="H4" s="6" t="s">
        <v>19</v>
      </c>
    </row>
    <row r="5" spans="1:8">
      <c r="A5" s="6">
        <f t="shared" si="0"/>
        <v>1</v>
      </c>
      <c r="B5" s="6">
        <v>0</v>
      </c>
      <c r="C5" s="6">
        <v>1</v>
      </c>
      <c r="D5" s="16">
        <v>10000101</v>
      </c>
      <c r="E5" s="6">
        <v>2</v>
      </c>
      <c r="F5" s="6" t="s">
        <v>17</v>
      </c>
      <c r="G5" s="6" t="s">
        <v>18</v>
      </c>
      <c r="H5" s="6" t="s">
        <v>19</v>
      </c>
    </row>
    <row r="6" spans="1:8">
      <c r="A6" s="6">
        <f t="shared" si="0"/>
        <v>2</v>
      </c>
      <c r="B6" s="6">
        <v>0</v>
      </c>
      <c r="C6" s="6">
        <v>2</v>
      </c>
      <c r="D6" s="16">
        <v>10000101</v>
      </c>
      <c r="E6" s="6">
        <v>3</v>
      </c>
      <c r="F6" s="6" t="s">
        <v>17</v>
      </c>
      <c r="G6" s="6" t="s">
        <v>18</v>
      </c>
      <c r="H6" s="6" t="s">
        <v>19</v>
      </c>
    </row>
    <row r="7" s="14" customFormat="1" spans="1:8">
      <c r="A7" s="6">
        <f t="shared" si="0"/>
        <v>3</v>
      </c>
      <c r="B7" s="6">
        <v>0</v>
      </c>
      <c r="C7" s="6">
        <v>3</v>
      </c>
      <c r="D7" s="16">
        <v>10000101</v>
      </c>
      <c r="E7" s="6">
        <v>3</v>
      </c>
      <c r="F7" s="6" t="s">
        <v>17</v>
      </c>
      <c r="G7" s="6" t="s">
        <v>18</v>
      </c>
      <c r="H7" s="6" t="s">
        <v>19</v>
      </c>
    </row>
    <row r="8" spans="1:8">
      <c r="A8" s="6">
        <f t="shared" si="0"/>
        <v>100</v>
      </c>
      <c r="B8" s="6">
        <v>1</v>
      </c>
      <c r="C8" s="6">
        <v>0</v>
      </c>
      <c r="D8" s="16">
        <v>10000101</v>
      </c>
      <c r="E8" s="6">
        <v>3</v>
      </c>
      <c r="F8" s="6" t="s">
        <v>17</v>
      </c>
      <c r="G8" s="6" t="s">
        <v>18</v>
      </c>
      <c r="H8" s="6" t="s">
        <v>19</v>
      </c>
    </row>
    <row r="9" spans="1:8">
      <c r="A9" s="6">
        <f t="shared" si="0"/>
        <v>101</v>
      </c>
      <c r="B9" s="6">
        <v>1</v>
      </c>
      <c r="C9" s="6">
        <v>1</v>
      </c>
      <c r="D9" s="16">
        <v>10000101</v>
      </c>
      <c r="E9" s="6">
        <v>3</v>
      </c>
      <c r="F9" s="6" t="s">
        <v>17</v>
      </c>
      <c r="G9" s="6" t="s">
        <v>18</v>
      </c>
      <c r="H9" s="6" t="s">
        <v>19</v>
      </c>
    </row>
    <row r="10" spans="1:8">
      <c r="A10" s="6">
        <f t="shared" si="0"/>
        <v>102</v>
      </c>
      <c r="B10" s="6">
        <v>1</v>
      </c>
      <c r="C10" s="6">
        <v>2</v>
      </c>
      <c r="D10" s="16"/>
      <c r="E10" s="6">
        <v>0</v>
      </c>
      <c r="F10" s="6" t="s">
        <v>17</v>
      </c>
      <c r="G10" s="6" t="s">
        <v>18</v>
      </c>
      <c r="H10" s="6" t="s">
        <v>19</v>
      </c>
    </row>
    <row r="11" spans="1:8">
      <c r="A11" s="6">
        <f t="shared" si="0"/>
        <v>103</v>
      </c>
      <c r="B11" s="6">
        <v>1</v>
      </c>
      <c r="C11" s="6">
        <v>3</v>
      </c>
      <c r="D11" s="16">
        <v>10000101</v>
      </c>
      <c r="E11" s="6">
        <v>3</v>
      </c>
      <c r="F11" s="6" t="s">
        <v>17</v>
      </c>
      <c r="G11" s="6" t="s">
        <v>18</v>
      </c>
      <c r="H11" s="6" t="s">
        <v>19</v>
      </c>
    </row>
    <row r="12" spans="1:8">
      <c r="A12" s="6">
        <f t="shared" si="0"/>
        <v>200</v>
      </c>
      <c r="B12" s="6">
        <v>2</v>
      </c>
      <c r="C12" s="6">
        <v>0</v>
      </c>
      <c r="D12" s="16">
        <v>10000204</v>
      </c>
      <c r="E12" s="6">
        <v>2</v>
      </c>
      <c r="F12" s="6" t="s">
        <v>17</v>
      </c>
      <c r="G12" s="6" t="s">
        <v>18</v>
      </c>
      <c r="H12" s="6" t="s">
        <v>19</v>
      </c>
    </row>
    <row r="13" spans="1:8">
      <c r="A13" s="6">
        <f t="shared" si="0"/>
        <v>201</v>
      </c>
      <c r="B13" s="6">
        <v>2</v>
      </c>
      <c r="C13" s="6">
        <v>1</v>
      </c>
      <c r="D13" s="16">
        <v>10000203</v>
      </c>
      <c r="E13" s="6">
        <v>2</v>
      </c>
      <c r="F13" s="6" t="s">
        <v>17</v>
      </c>
      <c r="G13" s="6" t="s">
        <v>18</v>
      </c>
      <c r="H13" s="6" t="s">
        <v>19</v>
      </c>
    </row>
    <row r="14" spans="1:8">
      <c r="A14" s="6">
        <f t="shared" si="0"/>
        <v>202</v>
      </c>
      <c r="B14" s="6">
        <v>2</v>
      </c>
      <c r="C14" s="6">
        <v>2</v>
      </c>
      <c r="D14" s="17">
        <v>10000102</v>
      </c>
      <c r="E14" s="18">
        <v>1</v>
      </c>
      <c r="F14" s="6" t="s">
        <v>17</v>
      </c>
      <c r="G14" s="6" t="s">
        <v>18</v>
      </c>
      <c r="H14" s="6" t="s">
        <v>19</v>
      </c>
    </row>
    <row r="15" spans="1:8">
      <c r="A15" s="6">
        <f t="shared" si="0"/>
        <v>203</v>
      </c>
      <c r="B15" s="6">
        <v>2</v>
      </c>
      <c r="C15" s="6">
        <v>3</v>
      </c>
      <c r="D15" s="16">
        <v>10000507</v>
      </c>
      <c r="E15" s="6">
        <v>2</v>
      </c>
      <c r="F15" s="6" t="s">
        <v>17</v>
      </c>
      <c r="G15" s="6" t="s">
        <v>18</v>
      </c>
      <c r="H15" s="6" t="s">
        <v>19</v>
      </c>
    </row>
    <row r="16" spans="1:8">
      <c r="A16" s="6">
        <f t="shared" si="0"/>
        <v>300</v>
      </c>
      <c r="B16" s="6">
        <v>3</v>
      </c>
      <c r="C16" s="6">
        <v>0</v>
      </c>
      <c r="D16" s="16">
        <v>10000202</v>
      </c>
      <c r="E16" s="6">
        <v>2</v>
      </c>
      <c r="F16" s="6" t="s">
        <v>17</v>
      </c>
      <c r="G16" s="6" t="s">
        <v>18</v>
      </c>
      <c r="H16" s="6" t="s">
        <v>19</v>
      </c>
    </row>
    <row r="17" spans="1:8">
      <c r="A17" s="6">
        <f t="shared" si="0"/>
        <v>301</v>
      </c>
      <c r="B17" s="6">
        <v>3</v>
      </c>
      <c r="C17" s="6">
        <v>1</v>
      </c>
      <c r="D17" s="17">
        <v>10000104</v>
      </c>
      <c r="E17" s="18">
        <v>1</v>
      </c>
      <c r="F17" s="6" t="s">
        <v>17</v>
      </c>
      <c r="G17" s="6" t="s">
        <v>18</v>
      </c>
      <c r="H17" s="6" t="s">
        <v>19</v>
      </c>
    </row>
    <row r="18" spans="1:8">
      <c r="A18" s="6">
        <f t="shared" si="0"/>
        <v>302</v>
      </c>
      <c r="B18" s="6">
        <v>3</v>
      </c>
      <c r="C18" s="6">
        <v>2</v>
      </c>
      <c r="D18" s="17">
        <v>10000103</v>
      </c>
      <c r="E18" s="18">
        <v>1</v>
      </c>
      <c r="F18" s="6" t="s">
        <v>17</v>
      </c>
      <c r="G18" s="6" t="s">
        <v>18</v>
      </c>
      <c r="H18" s="6" t="s">
        <v>19</v>
      </c>
    </row>
    <row r="19" spans="1:8">
      <c r="A19" s="6">
        <f t="shared" si="0"/>
        <v>303</v>
      </c>
      <c r="B19" s="6">
        <v>3</v>
      </c>
      <c r="C19" s="6">
        <v>3</v>
      </c>
      <c r="D19" s="16">
        <v>10000708</v>
      </c>
      <c r="E19" s="6">
        <v>2</v>
      </c>
      <c r="F19" s="6" t="s">
        <v>17</v>
      </c>
      <c r="G19" s="6" t="s">
        <v>18</v>
      </c>
      <c r="H19" s="6" t="s">
        <v>19</v>
      </c>
    </row>
    <row r="20" spans="1:8">
      <c r="A20" s="6">
        <f t="shared" si="0"/>
        <v>400</v>
      </c>
      <c r="B20" s="6">
        <v>4</v>
      </c>
      <c r="C20" s="6">
        <v>0</v>
      </c>
      <c r="D20" s="16">
        <v>10000204</v>
      </c>
      <c r="E20" s="6">
        <v>2</v>
      </c>
      <c r="F20" s="6" t="s">
        <v>17</v>
      </c>
      <c r="G20" s="6" t="s">
        <v>18</v>
      </c>
      <c r="H20" s="6" t="s">
        <v>19</v>
      </c>
    </row>
    <row r="21" spans="1:8">
      <c r="A21" s="6">
        <f t="shared" si="0"/>
        <v>401</v>
      </c>
      <c r="B21" s="6">
        <v>4</v>
      </c>
      <c r="C21" s="6">
        <v>1</v>
      </c>
      <c r="D21" s="16">
        <v>10000201</v>
      </c>
      <c r="E21" s="6">
        <v>2</v>
      </c>
      <c r="F21" s="6" t="s">
        <v>17</v>
      </c>
      <c r="G21" s="6" t="s">
        <v>18</v>
      </c>
      <c r="H21" s="6" t="s">
        <v>19</v>
      </c>
    </row>
    <row r="22" spans="1:8">
      <c r="A22" s="6">
        <f t="shared" si="0"/>
        <v>402</v>
      </c>
      <c r="B22" s="6">
        <v>4</v>
      </c>
      <c r="C22" s="6">
        <v>2</v>
      </c>
      <c r="D22" s="16">
        <v>10000205</v>
      </c>
      <c r="E22" s="6">
        <v>2</v>
      </c>
      <c r="F22" s="6" t="s">
        <v>17</v>
      </c>
      <c r="G22" s="6" t="s">
        <v>18</v>
      </c>
      <c r="H22" s="6" t="s">
        <v>19</v>
      </c>
    </row>
    <row r="23" spans="1:8">
      <c r="A23" s="6">
        <f t="shared" si="0"/>
        <v>403</v>
      </c>
      <c r="B23" s="6">
        <v>4</v>
      </c>
      <c r="C23" s="6">
        <v>3</v>
      </c>
      <c r="D23" s="16">
        <v>10000608</v>
      </c>
      <c r="E23" s="6">
        <v>2</v>
      </c>
      <c r="F23" s="6" t="s">
        <v>17</v>
      </c>
      <c r="G23" s="6" t="s">
        <v>18</v>
      </c>
      <c r="H23" s="6" t="s">
        <v>19</v>
      </c>
    </row>
    <row r="24" spans="1:8">
      <c r="A24" s="6">
        <f t="shared" si="0"/>
        <v>500</v>
      </c>
      <c r="B24" s="6">
        <v>5</v>
      </c>
      <c r="C24" s="6">
        <v>0</v>
      </c>
      <c r="D24" s="16">
        <v>10000101</v>
      </c>
      <c r="E24" s="6">
        <v>3</v>
      </c>
      <c r="F24" s="6" t="s">
        <v>17</v>
      </c>
      <c r="G24" s="6" t="s">
        <v>18</v>
      </c>
      <c r="H24" s="6" t="s">
        <v>19</v>
      </c>
    </row>
    <row r="25" spans="1:8">
      <c r="A25" s="6">
        <f t="shared" si="0"/>
        <v>501</v>
      </c>
      <c r="B25" s="6">
        <v>5</v>
      </c>
      <c r="C25" s="6">
        <v>1</v>
      </c>
      <c r="D25" s="16">
        <v>10000101</v>
      </c>
      <c r="E25" s="6">
        <v>3</v>
      </c>
      <c r="F25" s="6" t="s">
        <v>17</v>
      </c>
      <c r="G25" s="6" t="s">
        <v>18</v>
      </c>
      <c r="H25" s="6" t="s">
        <v>19</v>
      </c>
    </row>
    <row r="26" spans="1:8">
      <c r="A26" s="6">
        <f t="shared" si="0"/>
        <v>502</v>
      </c>
      <c r="B26" s="6">
        <v>5</v>
      </c>
      <c r="C26" s="6">
        <v>2</v>
      </c>
      <c r="D26" s="16">
        <v>10000101</v>
      </c>
      <c r="E26" s="6">
        <v>3</v>
      </c>
      <c r="F26" s="6" t="s">
        <v>17</v>
      </c>
      <c r="G26" s="6" t="s">
        <v>18</v>
      </c>
      <c r="H26" s="6" t="s">
        <v>19</v>
      </c>
    </row>
    <row r="27" spans="1:8">
      <c r="A27" s="6">
        <f t="shared" si="0"/>
        <v>503</v>
      </c>
      <c r="B27" s="6">
        <v>5</v>
      </c>
      <c r="C27" s="6">
        <v>3</v>
      </c>
      <c r="D27" s="16">
        <v>10000101</v>
      </c>
      <c r="E27" s="6">
        <v>3</v>
      </c>
      <c r="F27" s="6" t="s">
        <v>17</v>
      </c>
      <c r="G27" s="6" t="s">
        <v>18</v>
      </c>
      <c r="H27" s="6" t="s">
        <v>19</v>
      </c>
    </row>
    <row r="28" spans="1:8">
      <c r="A28" s="6">
        <f t="shared" si="0"/>
        <v>600</v>
      </c>
      <c r="B28" s="6">
        <v>6</v>
      </c>
      <c r="C28" s="6">
        <v>0</v>
      </c>
      <c r="D28" s="16">
        <v>10000101</v>
      </c>
      <c r="E28" s="6">
        <v>3</v>
      </c>
      <c r="F28" s="6" t="s">
        <v>17</v>
      </c>
      <c r="G28" s="6" t="s">
        <v>18</v>
      </c>
      <c r="H28" s="6" t="s">
        <v>19</v>
      </c>
    </row>
    <row r="29" spans="1:8">
      <c r="A29" s="6">
        <f t="shared" si="0"/>
        <v>601</v>
      </c>
      <c r="B29" s="6">
        <v>6</v>
      </c>
      <c r="C29" s="6">
        <v>1</v>
      </c>
      <c r="D29" s="16">
        <v>10000101</v>
      </c>
      <c r="E29" s="6">
        <v>3</v>
      </c>
      <c r="F29" s="6" t="s">
        <v>17</v>
      </c>
      <c r="G29" s="6" t="s">
        <v>18</v>
      </c>
      <c r="H29" s="6" t="s">
        <v>19</v>
      </c>
    </row>
    <row r="30" spans="1:8">
      <c r="A30" s="6">
        <f t="shared" si="0"/>
        <v>602</v>
      </c>
      <c r="B30" s="6">
        <v>6</v>
      </c>
      <c r="C30" s="6">
        <v>2</v>
      </c>
      <c r="D30" s="16">
        <v>10000101</v>
      </c>
      <c r="E30" s="6">
        <v>3</v>
      </c>
      <c r="F30" s="6" t="s">
        <v>17</v>
      </c>
      <c r="G30" s="6" t="s">
        <v>18</v>
      </c>
      <c r="H30" s="6" t="s">
        <v>19</v>
      </c>
    </row>
    <row r="31" spans="1:8">
      <c r="A31" s="6">
        <f t="shared" si="0"/>
        <v>603</v>
      </c>
      <c r="B31" s="6">
        <v>6</v>
      </c>
      <c r="C31" s="6">
        <v>3</v>
      </c>
      <c r="D31" s="16">
        <v>10000101</v>
      </c>
      <c r="E31" s="6">
        <v>3</v>
      </c>
      <c r="F31" s="6" t="s">
        <v>17</v>
      </c>
      <c r="G31" s="6" t="s">
        <v>18</v>
      </c>
      <c r="H31" s="6" t="s">
        <v>19</v>
      </c>
    </row>
  </sheetData>
  <autoFilter xmlns:etc="http://www.wps.cn/officeDocument/2017/etCustomData" ref="B3:G31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43"/>
  <sheetViews>
    <sheetView tabSelected="1" zoomScale="115" zoomScaleNormal="115" workbookViewId="0">
      <pane xSplit="6" ySplit="2" topLeftCell="G3" activePane="bottomRight" state="frozenSplit"/>
      <selection/>
      <selection pane="topRight"/>
      <selection pane="bottomLeft"/>
      <selection pane="bottomRight" activeCell="C31" sqref="C31"/>
    </sheetView>
  </sheetViews>
  <sheetFormatPr defaultColWidth="9" defaultRowHeight="13.5"/>
  <cols>
    <col min="1" max="1" width="13.225" customWidth="1"/>
    <col min="2" max="2" width="19.8833333333333" customWidth="1"/>
    <col min="3" max="3" width="29.125" customWidth="1"/>
    <col min="4" max="4" width="36.625" customWidth="1"/>
    <col min="5" max="5" width="16" customWidth="1"/>
    <col min="6" max="6" width="12.6666666666667" customWidth="1"/>
    <col min="7" max="7" width="22.8916666666667" customWidth="1"/>
    <col min="8" max="8" width="19.225" customWidth="1"/>
    <col min="9" max="9" width="18.225" customWidth="1"/>
    <col min="10" max="10" width="24.4416666666667" customWidth="1"/>
    <col min="11" max="11" width="20.6666666666667" customWidth="1"/>
    <col min="12" max="12" width="16.1083333333333" customWidth="1"/>
    <col min="13" max="13" width="16.775" customWidth="1"/>
    <col min="14" max="14" width="20.1083333333333" customWidth="1"/>
    <col min="15" max="15" width="21.6666666666667" customWidth="1"/>
    <col min="16" max="16" width="19" customWidth="1"/>
    <col min="17" max="18" width="33.1083333333333" customWidth="1"/>
    <col min="19" max="25" width="17.4416666666667" customWidth="1"/>
    <col min="26" max="26" width="18.775" customWidth="1"/>
  </cols>
  <sheetData>
    <row r="1" s="1" customFormat="1" spans="1:26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9"/>
      <c r="R1" s="9"/>
      <c r="S1" s="9"/>
      <c r="T1" s="4"/>
      <c r="U1" s="10"/>
      <c r="V1" s="4"/>
      <c r="W1" s="4"/>
      <c r="X1" s="4"/>
      <c r="Y1" s="4"/>
      <c r="Z1" s="4"/>
    </row>
    <row r="2" ht="15" spans="1:26">
      <c r="A2" s="5" t="s">
        <v>20</v>
      </c>
      <c r="B2" s="5" t="s">
        <v>21</v>
      </c>
      <c r="C2" s="5" t="s">
        <v>22</v>
      </c>
      <c r="D2" s="5" t="s">
        <v>23</v>
      </c>
      <c r="E2" s="5" t="s">
        <v>24</v>
      </c>
      <c r="F2" s="5" t="s">
        <v>25</v>
      </c>
      <c r="G2" s="5" t="s">
        <v>26</v>
      </c>
      <c r="H2" s="5" t="s">
        <v>27</v>
      </c>
      <c r="I2" s="5" t="s">
        <v>28</v>
      </c>
      <c r="J2" s="5" t="s">
        <v>29</v>
      </c>
      <c r="K2" s="5" t="s">
        <v>30</v>
      </c>
      <c r="L2" s="5" t="s">
        <v>31</v>
      </c>
      <c r="M2" s="5" t="s">
        <v>32</v>
      </c>
      <c r="N2" s="5" t="s">
        <v>33</v>
      </c>
      <c r="O2" s="5" t="s">
        <v>34</v>
      </c>
      <c r="P2" s="5" t="s">
        <v>35</v>
      </c>
      <c r="Q2" s="11" t="s">
        <v>36</v>
      </c>
      <c r="R2" s="11" t="s">
        <v>37</v>
      </c>
      <c r="S2" s="11" t="s">
        <v>38</v>
      </c>
      <c r="T2" s="11" t="s">
        <v>39</v>
      </c>
      <c r="U2" s="11" t="s">
        <v>40</v>
      </c>
      <c r="V2" s="11" t="s">
        <v>41</v>
      </c>
      <c r="W2" s="11" t="s">
        <v>42</v>
      </c>
      <c r="X2" s="11" t="s">
        <v>43</v>
      </c>
      <c r="Y2" s="11" t="s">
        <v>44</v>
      </c>
      <c r="Z2" s="11" t="s">
        <v>45</v>
      </c>
    </row>
    <row r="3" ht="15" spans="1:26">
      <c r="A3" s="5" t="s">
        <v>46</v>
      </c>
      <c r="B3" s="5" t="s">
        <v>47</v>
      </c>
      <c r="C3" s="5" t="s">
        <v>48</v>
      </c>
      <c r="D3" s="5" t="s">
        <v>49</v>
      </c>
      <c r="E3" s="5" t="s">
        <v>50</v>
      </c>
      <c r="F3" s="5" t="s">
        <v>51</v>
      </c>
      <c r="G3" s="5" t="s">
        <v>52</v>
      </c>
      <c r="H3" s="5" t="s">
        <v>53</v>
      </c>
      <c r="I3" s="5" t="s">
        <v>54</v>
      </c>
      <c r="J3" s="5" t="s">
        <v>55</v>
      </c>
      <c r="K3" s="5" t="s">
        <v>56</v>
      </c>
      <c r="L3" s="5" t="s">
        <v>57</v>
      </c>
      <c r="M3" s="5" t="s">
        <v>58</v>
      </c>
      <c r="N3" s="5" t="s">
        <v>59</v>
      </c>
      <c r="O3" s="5" t="s">
        <v>60</v>
      </c>
      <c r="P3" s="5" t="s">
        <v>61</v>
      </c>
      <c r="Q3" s="11" t="s">
        <v>62</v>
      </c>
      <c r="R3" s="11" t="s">
        <v>63</v>
      </c>
      <c r="S3" s="11" t="s">
        <v>64</v>
      </c>
      <c r="T3" s="11" t="s">
        <v>65</v>
      </c>
      <c r="U3" s="11" t="s">
        <v>66</v>
      </c>
      <c r="V3" s="11" t="s">
        <v>67</v>
      </c>
      <c r="W3" s="11" t="s">
        <v>68</v>
      </c>
      <c r="X3" s="11" t="s">
        <v>69</v>
      </c>
      <c r="Y3" s="11" t="s">
        <v>70</v>
      </c>
      <c r="Z3" s="11" t="s">
        <v>71</v>
      </c>
    </row>
    <row r="4" s="2" customFormat="1" spans="1:26">
      <c r="A4" s="6">
        <f t="shared" ref="A4:A11" si="0">I4*100+L4</f>
        <v>10000101</v>
      </c>
      <c r="B4" s="7" t="s">
        <v>72</v>
      </c>
      <c r="C4" s="6" t="s">
        <v>73</v>
      </c>
      <c r="D4" s="8" t="s">
        <v>74</v>
      </c>
      <c r="E4" s="6">
        <v>10001</v>
      </c>
      <c r="F4" s="6">
        <v>10015</v>
      </c>
      <c r="G4" s="6"/>
      <c r="H4" s="6"/>
      <c r="I4" s="6">
        <v>100001</v>
      </c>
      <c r="J4" s="6">
        <v>-1</v>
      </c>
      <c r="K4" s="6">
        <v>1</v>
      </c>
      <c r="L4" s="6">
        <v>1</v>
      </c>
      <c r="M4" s="6">
        <v>0</v>
      </c>
      <c r="N4" s="6"/>
      <c r="O4" s="6"/>
      <c r="P4" s="6">
        <f>A5</f>
        <v>10000102</v>
      </c>
      <c r="Q4" s="6"/>
      <c r="R4" s="6"/>
      <c r="S4" s="6"/>
      <c r="T4" s="6"/>
      <c r="U4" s="6"/>
      <c r="V4" s="6"/>
      <c r="W4" s="6"/>
      <c r="X4" s="6"/>
      <c r="Y4" s="6"/>
      <c r="Z4" s="6"/>
    </row>
    <row r="5" s="2" customFormat="1" spans="1:26">
      <c r="A5" s="6">
        <f t="shared" si="0"/>
        <v>10000102</v>
      </c>
      <c r="B5" s="7" t="s">
        <v>75</v>
      </c>
      <c r="C5" s="6" t="s">
        <v>76</v>
      </c>
      <c r="D5" s="8" t="s">
        <v>77</v>
      </c>
      <c r="E5" s="6">
        <v>10001</v>
      </c>
      <c r="F5" s="6">
        <v>10015</v>
      </c>
      <c r="G5" s="6"/>
      <c r="H5" s="6"/>
      <c r="I5" s="6">
        <v>100001</v>
      </c>
      <c r="J5" s="6">
        <v>-1</v>
      </c>
      <c r="K5" s="6">
        <v>2</v>
      </c>
      <c r="L5" s="6">
        <v>2</v>
      </c>
      <c r="M5" s="6">
        <v>0</v>
      </c>
      <c r="N5" s="6"/>
      <c r="O5" s="6"/>
      <c r="P5" s="6">
        <f>A6</f>
        <v>10000103</v>
      </c>
      <c r="Q5" s="6"/>
      <c r="R5" s="6"/>
      <c r="S5" s="6"/>
      <c r="T5" s="6"/>
      <c r="U5" s="6"/>
      <c r="V5" s="6"/>
      <c r="W5" s="6"/>
      <c r="X5" s="6"/>
      <c r="Y5" s="6"/>
      <c r="Z5" s="6"/>
    </row>
    <row r="6" s="2" customFormat="1" spans="1:26">
      <c r="A6" s="6">
        <f t="shared" si="0"/>
        <v>10000103</v>
      </c>
      <c r="B6" s="7" t="s">
        <v>78</v>
      </c>
      <c r="C6" s="6" t="s">
        <v>79</v>
      </c>
      <c r="D6" s="8" t="s">
        <v>80</v>
      </c>
      <c r="E6" s="6">
        <v>20001</v>
      </c>
      <c r="F6" s="6">
        <v>10015</v>
      </c>
      <c r="G6" s="6">
        <v>10</v>
      </c>
      <c r="H6" s="6">
        <v>30</v>
      </c>
      <c r="I6" s="6">
        <v>100001</v>
      </c>
      <c r="J6" s="6">
        <v>-1</v>
      </c>
      <c r="K6" s="6">
        <v>3</v>
      </c>
      <c r="L6" s="6">
        <v>3</v>
      </c>
      <c r="M6" s="6">
        <v>0</v>
      </c>
      <c r="N6" s="6"/>
      <c r="O6" s="6"/>
      <c r="P6" s="6">
        <f>A7</f>
        <v>10000104</v>
      </c>
      <c r="Q6" s="6">
        <v>100002</v>
      </c>
      <c r="R6" s="6">
        <f>A10</f>
        <v>10000201</v>
      </c>
      <c r="S6" s="6">
        <v>1</v>
      </c>
      <c r="T6" s="6"/>
      <c r="U6" s="6"/>
      <c r="V6" s="6"/>
      <c r="W6" s="6"/>
      <c r="X6" s="6"/>
      <c r="Y6" s="6"/>
      <c r="Z6" s="6"/>
    </row>
    <row r="7" s="2" customFormat="1" spans="1:26">
      <c r="A7" s="6">
        <f t="shared" si="0"/>
        <v>10000104</v>
      </c>
      <c r="B7" s="7" t="s">
        <v>81</v>
      </c>
      <c r="C7" s="6" t="s">
        <v>82</v>
      </c>
      <c r="D7" s="8" t="s">
        <v>83</v>
      </c>
      <c r="E7" s="6">
        <v>20001</v>
      </c>
      <c r="F7" s="6">
        <v>10016</v>
      </c>
      <c r="G7" s="6">
        <v>10</v>
      </c>
      <c r="H7" s="6">
        <v>30</v>
      </c>
      <c r="I7" s="6">
        <v>100001</v>
      </c>
      <c r="J7" s="6">
        <v>-1</v>
      </c>
      <c r="K7" s="6">
        <v>4</v>
      </c>
      <c r="L7" s="6">
        <v>4</v>
      </c>
      <c r="M7" s="6">
        <v>0</v>
      </c>
      <c r="N7" s="6"/>
      <c r="O7" s="6"/>
      <c r="P7" s="6">
        <f>A8</f>
        <v>10000105</v>
      </c>
      <c r="Q7" s="6">
        <v>100002</v>
      </c>
      <c r="R7" s="6" t="str">
        <f>A10&amp;"|"&amp;A11</f>
        <v>10000201|10000202</v>
      </c>
      <c r="S7" s="6" t="s">
        <v>84</v>
      </c>
      <c r="T7" s="6"/>
      <c r="U7" s="6"/>
      <c r="V7" s="6"/>
      <c r="W7" s="6"/>
      <c r="X7" s="6"/>
      <c r="Y7" s="6"/>
      <c r="Z7" s="6"/>
    </row>
    <row r="8" s="2" customFormat="1" spans="1:26">
      <c r="A8" s="6">
        <f t="shared" si="0"/>
        <v>10000105</v>
      </c>
      <c r="B8" s="7" t="s">
        <v>85</v>
      </c>
      <c r="C8" s="6" t="s">
        <v>86</v>
      </c>
      <c r="D8" s="8" t="s">
        <v>87</v>
      </c>
      <c r="E8" s="6">
        <v>20001</v>
      </c>
      <c r="F8" s="6">
        <v>10016</v>
      </c>
      <c r="G8" s="6">
        <v>10</v>
      </c>
      <c r="H8" s="6">
        <v>30</v>
      </c>
      <c r="I8" s="6">
        <v>100001</v>
      </c>
      <c r="J8" s="6">
        <v>-1</v>
      </c>
      <c r="K8" s="6">
        <v>5</v>
      </c>
      <c r="L8" s="6">
        <v>5</v>
      </c>
      <c r="M8" s="6">
        <v>0</v>
      </c>
      <c r="N8" s="6"/>
      <c r="O8" s="6"/>
      <c r="P8" s="6">
        <f>A9</f>
        <v>10000106</v>
      </c>
      <c r="Q8" s="6">
        <v>100002</v>
      </c>
      <c r="R8" s="6" t="str">
        <f>A10&amp;"|"&amp;A11&amp;"|"&amp;A12</f>
        <v>10000201|10000202|10000203</v>
      </c>
      <c r="S8" s="6" t="s">
        <v>88</v>
      </c>
      <c r="T8" s="6"/>
      <c r="U8" s="6"/>
      <c r="V8" s="6"/>
      <c r="W8" s="6"/>
      <c r="X8" s="6"/>
      <c r="Y8" s="6"/>
      <c r="Z8" s="6"/>
    </row>
    <row r="9" s="2" customFormat="1" spans="1:26">
      <c r="A9" s="6">
        <f t="shared" si="0"/>
        <v>10000106</v>
      </c>
      <c r="B9" s="7" t="s">
        <v>89</v>
      </c>
      <c r="C9" s="6" t="s">
        <v>90</v>
      </c>
      <c r="D9" s="8" t="s">
        <v>91</v>
      </c>
      <c r="E9" s="6">
        <v>20001</v>
      </c>
      <c r="F9" s="6">
        <v>10016</v>
      </c>
      <c r="G9" s="6">
        <v>10</v>
      </c>
      <c r="H9" s="6">
        <v>30</v>
      </c>
      <c r="I9" s="6">
        <v>100001</v>
      </c>
      <c r="J9" s="6">
        <v>-1</v>
      </c>
      <c r="K9" s="6">
        <v>6</v>
      </c>
      <c r="L9" s="6">
        <v>6</v>
      </c>
      <c r="M9" s="6">
        <v>0</v>
      </c>
      <c r="N9" s="6"/>
      <c r="O9" s="6"/>
      <c r="P9" s="6"/>
      <c r="Q9" s="6">
        <v>100002</v>
      </c>
      <c r="R9" s="6" t="str">
        <f>A11&amp;"|"&amp;A12&amp;"|"&amp;A13</f>
        <v>10000202|10000203|10000204</v>
      </c>
      <c r="S9" s="6" t="s">
        <v>88</v>
      </c>
      <c r="T9" s="6"/>
      <c r="U9" s="6"/>
      <c r="V9" s="6"/>
      <c r="W9" s="6"/>
      <c r="X9" s="6"/>
      <c r="Y9" s="6"/>
      <c r="Z9" s="6"/>
    </row>
    <row r="10" s="2" customFormat="1" spans="1:26">
      <c r="A10" s="6">
        <f t="shared" si="0"/>
        <v>10000201</v>
      </c>
      <c r="B10" s="7" t="s">
        <v>92</v>
      </c>
      <c r="C10" s="6" t="s">
        <v>93</v>
      </c>
      <c r="D10" s="8" t="s">
        <v>94</v>
      </c>
      <c r="E10" s="6">
        <v>10001</v>
      </c>
      <c r="F10" s="6">
        <v>10015</v>
      </c>
      <c r="G10" s="6"/>
      <c r="H10" s="6"/>
      <c r="I10" s="6">
        <v>100002</v>
      </c>
      <c r="J10" s="6">
        <v>0</v>
      </c>
      <c r="K10" s="6">
        <v>1</v>
      </c>
      <c r="L10" s="6">
        <v>1</v>
      </c>
      <c r="M10" s="6">
        <v>0</v>
      </c>
      <c r="N10" s="6"/>
      <c r="O10" s="6"/>
      <c r="P10" s="6">
        <f t="shared" ref="P10:P15" si="1">A11</f>
        <v>10000202</v>
      </c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="2" customFormat="1" spans="1:26">
      <c r="A11" s="6">
        <f t="shared" si="0"/>
        <v>10000202</v>
      </c>
      <c r="B11" s="7" t="s">
        <v>95</v>
      </c>
      <c r="C11" s="6" t="s">
        <v>96</v>
      </c>
      <c r="D11" s="8" t="s">
        <v>97</v>
      </c>
      <c r="E11" s="6">
        <v>10001</v>
      </c>
      <c r="F11" s="6">
        <v>10015</v>
      </c>
      <c r="G11" s="6"/>
      <c r="H11" s="6"/>
      <c r="I11" s="6">
        <v>100002</v>
      </c>
      <c r="J11" s="6">
        <v>0</v>
      </c>
      <c r="K11" s="6">
        <v>2</v>
      </c>
      <c r="L11" s="6">
        <v>2</v>
      </c>
      <c r="M11" s="6">
        <v>0</v>
      </c>
      <c r="N11" s="6"/>
      <c r="O11" s="6"/>
      <c r="P11" s="6">
        <f t="shared" si="1"/>
        <v>10000203</v>
      </c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="2" customFormat="1" spans="1:26">
      <c r="A12" s="6">
        <f t="shared" ref="A10:A18" si="2">I12*100+L12</f>
        <v>10000203</v>
      </c>
      <c r="B12" s="7" t="s">
        <v>98</v>
      </c>
      <c r="C12" s="6" t="s">
        <v>99</v>
      </c>
      <c r="D12" s="8" t="s">
        <v>100</v>
      </c>
      <c r="E12" s="6">
        <v>10001</v>
      </c>
      <c r="F12" s="6">
        <v>10015</v>
      </c>
      <c r="G12" s="6"/>
      <c r="H12" s="6"/>
      <c r="I12" s="6">
        <v>100002</v>
      </c>
      <c r="J12" s="6">
        <v>0</v>
      </c>
      <c r="K12" s="6">
        <v>3</v>
      </c>
      <c r="L12" s="6">
        <v>3</v>
      </c>
      <c r="M12" s="6">
        <v>0</v>
      </c>
      <c r="N12" s="6"/>
      <c r="O12" s="6"/>
      <c r="P12" s="6">
        <f t="shared" si="1"/>
        <v>10000204</v>
      </c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="2" customFormat="1" spans="1:26">
      <c r="A13" s="6">
        <f t="shared" si="2"/>
        <v>10000204</v>
      </c>
      <c r="B13" s="7" t="s">
        <v>101</v>
      </c>
      <c r="C13" s="6" t="s">
        <v>102</v>
      </c>
      <c r="D13" s="8" t="s">
        <v>103</v>
      </c>
      <c r="E13" s="6">
        <v>10001</v>
      </c>
      <c r="F13" s="6">
        <v>10015</v>
      </c>
      <c r="G13" s="6"/>
      <c r="H13" s="6"/>
      <c r="I13" s="6">
        <v>100002</v>
      </c>
      <c r="J13" s="6">
        <v>0</v>
      </c>
      <c r="K13" s="6">
        <v>4</v>
      </c>
      <c r="L13" s="6">
        <v>4</v>
      </c>
      <c r="M13" s="6">
        <v>0</v>
      </c>
      <c r="N13" s="6"/>
      <c r="O13" s="6"/>
      <c r="P13" s="6">
        <f t="shared" si="1"/>
        <v>10000205</v>
      </c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="2" customFormat="1" spans="1:26">
      <c r="A14" s="6">
        <f t="shared" si="2"/>
        <v>10000205</v>
      </c>
      <c r="B14" s="7" t="s">
        <v>104</v>
      </c>
      <c r="C14" s="6" t="s">
        <v>105</v>
      </c>
      <c r="D14" s="8" t="s">
        <v>106</v>
      </c>
      <c r="E14" s="6">
        <v>10001</v>
      </c>
      <c r="F14" s="6">
        <v>10015</v>
      </c>
      <c r="G14" s="6"/>
      <c r="H14" s="6"/>
      <c r="I14" s="6">
        <v>100002</v>
      </c>
      <c r="J14" s="6">
        <v>0</v>
      </c>
      <c r="K14" s="6">
        <v>5</v>
      </c>
      <c r="L14" s="6">
        <v>5</v>
      </c>
      <c r="M14" s="6">
        <v>0</v>
      </c>
      <c r="N14" s="6"/>
      <c r="O14" s="6"/>
      <c r="P14" s="6">
        <f t="shared" si="1"/>
        <v>10000206</v>
      </c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="2" customFormat="1" spans="1:26">
      <c r="A15" s="6">
        <f t="shared" si="2"/>
        <v>10000206</v>
      </c>
      <c r="B15" s="7" t="s">
        <v>107</v>
      </c>
      <c r="C15" s="6" t="s">
        <v>108</v>
      </c>
      <c r="D15" s="8" t="s">
        <v>109</v>
      </c>
      <c r="E15" s="6">
        <v>10001</v>
      </c>
      <c r="F15" s="6">
        <v>10015</v>
      </c>
      <c r="G15" s="6"/>
      <c r="H15" s="6"/>
      <c r="I15" s="6">
        <v>100002</v>
      </c>
      <c r="J15" s="6">
        <v>0</v>
      </c>
      <c r="K15" s="6">
        <v>6</v>
      </c>
      <c r="L15" s="6">
        <v>6</v>
      </c>
      <c r="M15" s="6">
        <v>0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="2" customFormat="1" spans="1:26">
      <c r="A16" s="6">
        <f t="shared" si="2"/>
        <v>10000507</v>
      </c>
      <c r="B16" s="7" t="s">
        <v>110</v>
      </c>
      <c r="C16" s="6" t="s">
        <v>111</v>
      </c>
      <c r="D16" s="8" t="s">
        <v>112</v>
      </c>
      <c r="E16" s="6">
        <v>10001</v>
      </c>
      <c r="F16" s="6">
        <v>10015</v>
      </c>
      <c r="G16" s="6"/>
      <c r="H16" s="6"/>
      <c r="I16" s="6">
        <v>100005</v>
      </c>
      <c r="J16" s="6">
        <v>0</v>
      </c>
      <c r="K16" s="6">
        <v>7</v>
      </c>
      <c r="L16" s="6">
        <v>7</v>
      </c>
      <c r="M16" s="6">
        <v>0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="2" customFormat="1" spans="1:26">
      <c r="A17" s="6">
        <f t="shared" si="2"/>
        <v>10000608</v>
      </c>
      <c r="B17" s="7" t="s">
        <v>113</v>
      </c>
      <c r="C17" s="6" t="s">
        <v>114</v>
      </c>
      <c r="D17" s="8" t="s">
        <v>115</v>
      </c>
      <c r="E17" s="6">
        <v>10001</v>
      </c>
      <c r="F17" s="6">
        <v>10015</v>
      </c>
      <c r="G17" s="6"/>
      <c r="H17" s="6"/>
      <c r="I17" s="6">
        <v>100006</v>
      </c>
      <c r="J17" s="6">
        <v>0</v>
      </c>
      <c r="K17" s="6">
        <v>8</v>
      </c>
      <c r="L17" s="6">
        <v>8</v>
      </c>
      <c r="M17" s="6">
        <v>0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="2" customFormat="1" spans="1:26">
      <c r="A18" s="6">
        <f t="shared" si="2"/>
        <v>10000708</v>
      </c>
      <c r="B18" s="7" t="s">
        <v>116</v>
      </c>
      <c r="C18" s="6" t="s">
        <v>117</v>
      </c>
      <c r="D18" s="8" t="s">
        <v>118</v>
      </c>
      <c r="E18" s="6">
        <v>10001</v>
      </c>
      <c r="F18" s="6">
        <v>10015</v>
      </c>
      <c r="G18" s="6"/>
      <c r="H18" s="6"/>
      <c r="I18" s="6">
        <v>100007</v>
      </c>
      <c r="J18" s="6">
        <v>0</v>
      </c>
      <c r="K18" s="6">
        <v>8</v>
      </c>
      <c r="L18" s="6">
        <v>8</v>
      </c>
      <c r="M18" s="6">
        <v>0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="2" customFormat="1" spans="1:26">
      <c r="A19" s="6"/>
      <c r="B19" s="8"/>
      <c r="C19" s="6"/>
      <c r="D19" s="8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="2" customFormat="1" spans="1:26">
      <c r="A20" s="6"/>
      <c r="B20" s="8"/>
      <c r="C20" s="6"/>
      <c r="D20" s="8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="2" customFormat="1" spans="1:26">
      <c r="A21" s="6"/>
      <c r="B21" s="8"/>
      <c r="C21" s="6"/>
      <c r="D21" s="8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="2" customFormat="1" spans="1:26">
      <c r="A22" s="6"/>
      <c r="B22" s="8"/>
      <c r="C22" s="6"/>
      <c r="D22" s="8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="2" customFormat="1" spans="1:26">
      <c r="A23" s="6"/>
      <c r="B23" s="8"/>
      <c r="C23" s="6"/>
      <c r="D23" s="8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="2" customFormat="1" spans="1:26">
      <c r="A24" s="6"/>
      <c r="B24" s="8"/>
      <c r="C24" s="6"/>
      <c r="D24" s="8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="2" customFormat="1" spans="1:26">
      <c r="A25" s="6"/>
      <c r="B25" s="8"/>
      <c r="C25" s="6"/>
      <c r="D25" s="8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="2" customFormat="1" spans="1:26">
      <c r="A26" s="6"/>
      <c r="B26" s="8"/>
      <c r="C26" s="6"/>
      <c r="D26" s="8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="2" customFormat="1" spans="1:26">
      <c r="A27" s="6"/>
      <c r="B27" s="8"/>
      <c r="C27" s="6"/>
      <c r="D27" s="8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="2" customFormat="1" spans="1:26">
      <c r="A28" s="6"/>
      <c r="B28" s="8"/>
      <c r="C28" s="6"/>
      <c r="D28" s="8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="2" customFormat="1" spans="1:26">
      <c r="A29" s="6"/>
      <c r="B29" s="8"/>
      <c r="C29" s="6"/>
      <c r="D29" s="8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="2" customFormat="1" spans="1:26">
      <c r="A30" s="6"/>
      <c r="B30" s="8"/>
      <c r="C30" s="6"/>
      <c r="D30" s="8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="2" customFormat="1" spans="1:26">
      <c r="A31" s="6"/>
      <c r="B31" s="8"/>
      <c r="C31" s="6"/>
      <c r="D31" s="8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="2" customFormat="1" spans="1:26">
      <c r="A32" s="6"/>
      <c r="B32" s="8"/>
      <c r="C32" s="6"/>
      <c r="D32" s="8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="2" customFormat="1" spans="1:26">
      <c r="A33" s="6"/>
      <c r="B33" s="8"/>
      <c r="C33" s="6"/>
      <c r="D33" s="8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="2" customFormat="1" spans="1:26">
      <c r="A34" s="6"/>
      <c r="B34" s="8"/>
      <c r="C34" s="6"/>
      <c r="D34" s="8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="2" customFormat="1" spans="1:26">
      <c r="A35" s="6"/>
      <c r="B35" s="8"/>
      <c r="C35" s="6"/>
      <c r="D35" s="8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="2" customFormat="1" spans="1:26">
      <c r="A36" s="6"/>
      <c r="B36" s="8"/>
      <c r="C36" s="6"/>
      <c r="D36" s="8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="2" customFormat="1" spans="1:26">
      <c r="A37" s="6"/>
      <c r="B37" s="8"/>
      <c r="C37" s="6"/>
      <c r="D37" s="8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="2" customFormat="1" spans="1:26">
      <c r="A38" s="6"/>
      <c r="B38" s="8"/>
      <c r="C38" s="6"/>
      <c r="D38" s="8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="2" customFormat="1" spans="1:26">
      <c r="A39" s="6"/>
      <c r="B39" s="8"/>
      <c r="C39" s="6"/>
      <c r="D39" s="8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="2" customFormat="1" spans="1:26">
      <c r="A40" s="6"/>
      <c r="B40" s="8"/>
      <c r="C40" s="6"/>
      <c r="D40" s="8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="2" customFormat="1" spans="1:26">
      <c r="A41" s="6"/>
      <c r="B41" s="8"/>
      <c r="C41" s="6"/>
      <c r="D41" s="8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="2" customFormat="1" spans="1:26">
      <c r="A42" s="6"/>
      <c r="B42" s="8"/>
      <c r="C42" s="6"/>
      <c r="D42" s="8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="2" customFormat="1" spans="1:26">
      <c r="A43" s="6"/>
      <c r="B43" s="8"/>
      <c r="C43" s="6"/>
      <c r="D43" s="8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="2" customFormat="1" spans="1:26">
      <c r="A44" s="6"/>
      <c r="B44" s="8"/>
      <c r="C44" s="6"/>
      <c r="D44" s="8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="2" customFormat="1" spans="1:26">
      <c r="A45" s="6"/>
      <c r="B45" s="8"/>
      <c r="C45" s="6"/>
      <c r="D45" s="8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="2" customFormat="1" spans="1:26">
      <c r="A46" s="6"/>
      <c r="B46" s="8"/>
      <c r="C46" s="6"/>
      <c r="D46" s="8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="2" customFormat="1" spans="1:26">
      <c r="A47" s="6"/>
      <c r="B47" s="8"/>
      <c r="C47" s="6"/>
      <c r="D47" s="8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="2" customFormat="1" spans="1:26">
      <c r="A48" s="6"/>
      <c r="B48" s="8"/>
      <c r="C48" s="6"/>
      <c r="D48" s="8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="2" customFormat="1" spans="1:26">
      <c r="A49" s="6"/>
      <c r="B49" s="8"/>
      <c r="C49" s="6"/>
      <c r="D49" s="8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="2" customFormat="1" spans="1:26">
      <c r="A50" s="6"/>
      <c r="B50" s="8"/>
      <c r="C50" s="6"/>
      <c r="D50" s="8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="2" customFormat="1" spans="1:26">
      <c r="A51" s="6"/>
      <c r="B51" s="8"/>
      <c r="C51" s="6"/>
      <c r="D51" s="8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="2" customFormat="1" spans="1:26">
      <c r="A52" s="6"/>
      <c r="B52" s="8"/>
      <c r="C52" s="6"/>
      <c r="D52" s="8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="2" customFormat="1" spans="1:26">
      <c r="A53" s="6"/>
      <c r="B53" s="8"/>
      <c r="C53" s="6"/>
      <c r="D53" s="8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="2" customFormat="1" spans="1:26">
      <c r="A54" s="6"/>
      <c r="B54" s="8"/>
      <c r="C54" s="6"/>
      <c r="D54" s="8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="2" customFormat="1" spans="1:26">
      <c r="A55" s="6"/>
      <c r="B55" s="8"/>
      <c r="C55" s="6"/>
      <c r="D55" s="8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="2" customFormat="1" spans="1:26">
      <c r="A56" s="6"/>
      <c r="B56" s="8"/>
      <c r="C56" s="6"/>
      <c r="D56" s="8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="2" customFormat="1" spans="1:26">
      <c r="A57" s="6"/>
      <c r="B57" s="8"/>
      <c r="C57" s="6"/>
      <c r="D57" s="8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="2" customFormat="1" spans="1:26">
      <c r="A58" s="6"/>
      <c r="B58" s="8"/>
      <c r="C58" s="6"/>
      <c r="D58" s="8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="2" customFormat="1" spans="1:26">
      <c r="A59" s="6"/>
      <c r="B59" s="8"/>
      <c r="C59" s="6"/>
      <c r="D59" s="8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="2" customFormat="1" spans="1:26">
      <c r="A60" s="6"/>
      <c r="B60" s="8"/>
      <c r="C60" s="6"/>
      <c r="D60" s="8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="2" customFormat="1" spans="1:26">
      <c r="A61" s="6"/>
      <c r="B61" s="8"/>
      <c r="C61" s="6"/>
      <c r="D61" s="8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="2" customFormat="1" spans="1:26">
      <c r="A62" s="6"/>
      <c r="B62" s="8"/>
      <c r="C62" s="6"/>
      <c r="D62" s="8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="2" customFormat="1" spans="1:26">
      <c r="A63" s="6"/>
      <c r="B63" s="8"/>
      <c r="C63" s="6"/>
      <c r="D63" s="8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="2" customFormat="1" spans="1:26">
      <c r="A64" s="6"/>
      <c r="B64" s="8"/>
      <c r="C64" s="6"/>
      <c r="D64" s="8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="2" customFormat="1" spans="1:26">
      <c r="A65" s="6"/>
      <c r="B65" s="8"/>
      <c r="C65" s="6"/>
      <c r="D65" s="8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="2" customFormat="1" spans="1:26">
      <c r="A66" s="6"/>
      <c r="B66" s="8"/>
      <c r="C66" s="6"/>
      <c r="D66" s="8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="2" customFormat="1" spans="1:26">
      <c r="A67" s="6"/>
      <c r="B67" s="8"/>
      <c r="C67" s="6"/>
      <c r="D67" s="8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="2" customFormat="1" spans="1:26">
      <c r="A68" s="6"/>
      <c r="B68" s="8"/>
      <c r="C68" s="6"/>
      <c r="D68" s="8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="2" customFormat="1" spans="1:26">
      <c r="A69" s="6"/>
      <c r="B69" s="8"/>
      <c r="C69" s="6"/>
      <c r="D69" s="8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="2" customFormat="1" spans="1:26">
      <c r="A70" s="6"/>
      <c r="B70" s="8"/>
      <c r="C70" s="6"/>
      <c r="D70" s="8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="2" customFormat="1" spans="1:26">
      <c r="A71" s="6"/>
      <c r="B71" s="8"/>
      <c r="C71" s="6"/>
      <c r="D71" s="8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="2" customFormat="1" spans="1:26">
      <c r="A72" s="6"/>
      <c r="B72" s="8"/>
      <c r="C72" s="6"/>
      <c r="D72" s="8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="2" customFormat="1" spans="1:26">
      <c r="A73" s="6"/>
      <c r="B73" s="8"/>
      <c r="C73" s="6"/>
      <c r="D73" s="8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="2" customFormat="1" spans="1:26">
      <c r="A74" s="6"/>
      <c r="B74" s="8"/>
      <c r="C74" s="6"/>
      <c r="D74" s="8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="2" customFormat="1" spans="1:26">
      <c r="A75" s="6"/>
      <c r="B75" s="8"/>
      <c r="C75" s="6"/>
      <c r="D75" s="8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="2" customFormat="1" spans="1:26">
      <c r="A76" s="6"/>
      <c r="B76" s="8"/>
      <c r="C76" s="6"/>
      <c r="D76" s="8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="2" customFormat="1" spans="1:26">
      <c r="A77" s="6"/>
      <c r="B77" s="8"/>
      <c r="C77" s="6"/>
      <c r="D77" s="8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="2" customFormat="1" spans="1:26">
      <c r="A78" s="6"/>
      <c r="B78" s="8"/>
      <c r="C78" s="6"/>
      <c r="D78" s="8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="2" customFormat="1" spans="1:26">
      <c r="A79" s="6"/>
      <c r="B79" s="8"/>
      <c r="C79" s="6"/>
      <c r="D79" s="8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="2" customFormat="1" spans="1:26">
      <c r="A80" s="6"/>
      <c r="B80" s="8"/>
      <c r="C80" s="6"/>
      <c r="D80" s="8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="2" customFormat="1" spans="1:26">
      <c r="A81" s="6"/>
      <c r="B81" s="8"/>
      <c r="C81" s="6"/>
      <c r="D81" s="8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="2" customFormat="1" spans="1:26">
      <c r="A82" s="6"/>
      <c r="B82" s="8"/>
      <c r="C82" s="6"/>
      <c r="D82" s="8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="2" customFormat="1" spans="1:26">
      <c r="A83" s="6"/>
      <c r="B83" s="8"/>
      <c r="C83" s="6"/>
      <c r="D83" s="8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="2" customFormat="1" spans="1:26">
      <c r="A84" s="6"/>
      <c r="B84" s="8"/>
      <c r="C84" s="6"/>
      <c r="D84" s="8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="2" customFormat="1" spans="1:26">
      <c r="A85" s="6"/>
      <c r="B85" s="8"/>
      <c r="C85" s="6"/>
      <c r="D85" s="8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="2" customFormat="1" spans="1:26">
      <c r="A86" s="6"/>
      <c r="B86" s="8"/>
      <c r="C86" s="6"/>
      <c r="D86" s="8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="2" customFormat="1" spans="1:26">
      <c r="A87" s="6"/>
      <c r="B87" s="8"/>
      <c r="C87" s="6"/>
      <c r="D87" s="8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="2" customFormat="1" spans="1:26">
      <c r="A88" s="6"/>
      <c r="B88" s="8"/>
      <c r="C88" s="6"/>
      <c r="D88" s="8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="2" customFormat="1" spans="1:26">
      <c r="A89" s="6"/>
      <c r="B89" s="8"/>
      <c r="C89" s="6"/>
      <c r="D89" s="8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="2" customFormat="1" spans="1:26">
      <c r="A90" s="6"/>
      <c r="B90" s="8"/>
      <c r="C90" s="6"/>
      <c r="D90" s="8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="2" customFormat="1" spans="1:26">
      <c r="A91" s="6"/>
      <c r="B91" s="8"/>
      <c r="C91" s="6"/>
      <c r="D91" s="8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="2" customFormat="1" spans="1:26">
      <c r="A92" s="6"/>
      <c r="B92" s="8"/>
      <c r="C92" s="6"/>
      <c r="D92" s="8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="2" customFormat="1" spans="1:26">
      <c r="A93" s="6"/>
      <c r="B93" s="8"/>
      <c r="C93" s="6"/>
      <c r="D93" s="8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="2" customFormat="1" spans="1:26">
      <c r="A94" s="6"/>
      <c r="B94" s="8"/>
      <c r="C94" s="6"/>
      <c r="D94" s="8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="2" customFormat="1" spans="1:26">
      <c r="A95" s="6"/>
      <c r="B95" s="8"/>
      <c r="C95" s="6"/>
      <c r="D95" s="8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="2" customFormat="1" spans="1:26">
      <c r="A96" s="6"/>
      <c r="B96" s="8"/>
      <c r="C96" s="6"/>
      <c r="D96" s="8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="2" customFormat="1" spans="1:26">
      <c r="A97" s="6"/>
      <c r="B97" s="8"/>
      <c r="C97" s="6"/>
      <c r="D97" s="8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="2" customFormat="1" spans="1:26">
      <c r="A98" s="6"/>
      <c r="B98" s="8"/>
      <c r="C98" s="6"/>
      <c r="D98" s="8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="2" customFormat="1" spans="1:26">
      <c r="A99" s="6"/>
      <c r="B99" s="8"/>
      <c r="C99" s="6"/>
      <c r="D99" s="8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="2" customFormat="1" spans="1:26">
      <c r="A100" s="6"/>
      <c r="B100" s="8"/>
      <c r="C100" s="6"/>
      <c r="D100" s="8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="2" customFormat="1" spans="1:26">
      <c r="A101" s="6"/>
      <c r="B101" s="8"/>
      <c r="C101" s="6"/>
      <c r="D101" s="8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="2" customFormat="1" spans="1:26">
      <c r="A102" s="6"/>
      <c r="B102" s="8"/>
      <c r="C102" s="6"/>
      <c r="D102" s="8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="2" customFormat="1" spans="1:26">
      <c r="A103" s="6"/>
      <c r="B103" s="8"/>
      <c r="C103" s="6"/>
      <c r="D103" s="8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="2" customFormat="1" spans="1:26">
      <c r="A104" s="6"/>
      <c r="B104" s="8"/>
      <c r="C104" s="6"/>
      <c r="D104" s="8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="2" customFormat="1" spans="1:26">
      <c r="A105" s="6"/>
      <c r="B105" s="8"/>
      <c r="C105" s="6"/>
      <c r="D105" s="8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="2" customFormat="1" spans="1:26">
      <c r="A106" s="6"/>
      <c r="B106" s="8"/>
      <c r="C106" s="6"/>
      <c r="D106" s="8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="2" customFormat="1" spans="1:26">
      <c r="A107" s="6"/>
      <c r="B107" s="8"/>
      <c r="C107" s="6"/>
      <c r="D107" s="8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="2" customFormat="1" spans="1:26">
      <c r="A108" s="6"/>
      <c r="B108" s="8"/>
      <c r="C108" s="6"/>
      <c r="D108" s="8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="2" customFormat="1" spans="1:26">
      <c r="A109" s="6"/>
      <c r="B109" s="8"/>
      <c r="C109" s="6"/>
      <c r="D109" s="8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="2" customFormat="1" spans="1:26">
      <c r="A110" s="6"/>
      <c r="B110" s="8"/>
      <c r="C110" s="6"/>
      <c r="D110" s="8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="2" customFormat="1" spans="1:26">
      <c r="A111" s="6"/>
      <c r="B111" s="8"/>
      <c r="C111" s="6"/>
      <c r="D111" s="8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="2" customFormat="1" spans="1:26">
      <c r="A112" s="6"/>
      <c r="B112" s="8"/>
      <c r="C112" s="6"/>
      <c r="D112" s="8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="2" customFormat="1" spans="1:26">
      <c r="A113" s="6"/>
      <c r="B113" s="8"/>
      <c r="C113" s="6"/>
      <c r="D113" s="8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="2" customFormat="1" spans="1:26">
      <c r="A114" s="6"/>
      <c r="B114" s="8"/>
      <c r="C114" s="6"/>
      <c r="D114" s="8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="3" customFormat="1" spans="1:26">
      <c r="A115" s="6"/>
      <c r="B115" s="12"/>
      <c r="C115" s="13"/>
      <c r="D115" s="12"/>
      <c r="E115" s="13"/>
      <c r="F115" s="13"/>
      <c r="G115" s="13"/>
      <c r="H115" s="13"/>
      <c r="I115" s="13"/>
      <c r="J115" s="6"/>
      <c r="K115" s="6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="2" customFormat="1" spans="1:26">
      <c r="A116" s="6"/>
      <c r="B116" s="8"/>
      <c r="C116" s="6"/>
      <c r="D116" s="8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="2" customFormat="1" spans="1:26">
      <c r="A117" s="6"/>
      <c r="B117" s="8"/>
      <c r="C117" s="6"/>
      <c r="D117" s="8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="2" customFormat="1" spans="1:26">
      <c r="A118" s="6"/>
      <c r="B118" s="8"/>
      <c r="C118" s="6"/>
      <c r="D118" s="8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="2" customFormat="1" spans="1:26">
      <c r="A119" s="6"/>
      <c r="B119" s="8"/>
      <c r="C119" s="6"/>
      <c r="D119" s="8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="2" customFormat="1" spans="1:26">
      <c r="A120" s="6"/>
      <c r="B120" s="8"/>
      <c r="C120" s="6"/>
      <c r="D120" s="8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="2" customFormat="1" spans="1:26">
      <c r="A121" s="6"/>
      <c r="B121" s="8"/>
      <c r="C121" s="6"/>
      <c r="D121" s="8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="2" customFormat="1" spans="1:26">
      <c r="A122" s="6"/>
      <c r="B122" s="8"/>
      <c r="C122" s="6"/>
      <c r="D122" s="8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="2" customFormat="1" spans="1:26">
      <c r="A123" s="6"/>
      <c r="B123" s="8"/>
      <c r="C123" s="6"/>
      <c r="D123" s="8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="2" customFormat="1" spans="1:26">
      <c r="A124" s="6"/>
      <c r="B124" s="8"/>
      <c r="C124" s="6"/>
      <c r="D124" s="8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="2" customFormat="1" spans="1:26">
      <c r="A125" s="6"/>
      <c r="B125" s="8"/>
      <c r="C125" s="6"/>
      <c r="D125" s="8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="2" customFormat="1" spans="1:26">
      <c r="A126" s="6"/>
      <c r="B126" s="8"/>
      <c r="C126" s="6"/>
      <c r="D126" s="8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="2" customFormat="1" spans="1:26">
      <c r="A127" s="6"/>
      <c r="B127" s="8"/>
      <c r="C127" s="6"/>
      <c r="D127" s="8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="3" customFormat="1" spans="1:26">
      <c r="A128" s="6"/>
      <c r="B128" s="12"/>
      <c r="C128" s="13"/>
      <c r="D128" s="12"/>
      <c r="E128" s="13"/>
      <c r="F128" s="13"/>
      <c r="G128" s="13"/>
      <c r="H128" s="13"/>
      <c r="I128" s="13"/>
      <c r="J128" s="6"/>
      <c r="K128" s="6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="3" customFormat="1" spans="1:26">
      <c r="A129" s="6"/>
      <c r="B129" s="12"/>
      <c r="C129" s="13"/>
      <c r="D129" s="12"/>
      <c r="E129" s="13"/>
      <c r="F129" s="13"/>
      <c r="G129" s="13"/>
      <c r="H129" s="13"/>
      <c r="I129" s="13"/>
      <c r="J129" s="6"/>
      <c r="K129" s="6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="3" customFormat="1" spans="1:26">
      <c r="A130" s="6"/>
      <c r="B130" s="12"/>
      <c r="C130" s="13"/>
      <c r="D130" s="12"/>
      <c r="E130" s="13"/>
      <c r="F130" s="13"/>
      <c r="G130" s="13"/>
      <c r="H130" s="13"/>
      <c r="I130" s="13"/>
      <c r="J130" s="6"/>
      <c r="K130" s="6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="3" customFormat="1" spans="1:26">
      <c r="A131" s="6"/>
      <c r="B131" s="12"/>
      <c r="C131" s="13"/>
      <c r="D131" s="12"/>
      <c r="E131" s="13"/>
      <c r="F131" s="13"/>
      <c r="G131" s="13"/>
      <c r="H131" s="13"/>
      <c r="I131" s="13"/>
      <c r="J131" s="6"/>
      <c r="K131" s="6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="3" customFormat="1" spans="1:26">
      <c r="A132" s="6"/>
      <c r="B132" s="12"/>
      <c r="C132" s="13"/>
      <c r="D132" s="12"/>
      <c r="E132" s="13"/>
      <c r="F132" s="13"/>
      <c r="G132" s="13"/>
      <c r="H132" s="13"/>
      <c r="I132" s="13"/>
      <c r="J132" s="6"/>
      <c r="K132" s="6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="3" customFormat="1" spans="1:26">
      <c r="A133" s="6"/>
      <c r="B133" s="12"/>
      <c r="C133" s="13"/>
      <c r="D133" s="12"/>
      <c r="E133" s="13"/>
      <c r="F133" s="13"/>
      <c r="G133" s="13"/>
      <c r="H133" s="13"/>
      <c r="I133" s="13"/>
      <c r="J133" s="6"/>
      <c r="K133" s="6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="3" customFormat="1" spans="1:26">
      <c r="A134" s="6"/>
      <c r="B134" s="12"/>
      <c r="C134" s="13"/>
      <c r="D134" s="12"/>
      <c r="E134" s="13"/>
      <c r="F134" s="13"/>
      <c r="G134" s="13"/>
      <c r="H134" s="13"/>
      <c r="I134" s="13"/>
      <c r="J134" s="6"/>
      <c r="K134" s="6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="2" customFormat="1" spans="1:26">
      <c r="A135" s="6"/>
      <c r="B135" s="8"/>
      <c r="C135" s="6"/>
      <c r="D135" s="8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="2" customFormat="1" spans="1:26">
      <c r="A136" s="6"/>
      <c r="B136" s="8"/>
      <c r="C136" s="6"/>
      <c r="D136" s="8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="2" customFormat="1" spans="1:26">
      <c r="A137" s="6"/>
      <c r="B137" s="8"/>
      <c r="C137" s="6"/>
      <c r="D137" s="8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="2" customFormat="1" spans="1:26">
      <c r="A138" s="6"/>
      <c r="B138" s="8"/>
      <c r="C138" s="6"/>
      <c r="D138" s="8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="2" customFormat="1" spans="1:26">
      <c r="A139" s="6"/>
      <c r="B139" s="8"/>
      <c r="C139" s="6"/>
      <c r="D139" s="8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="2" customFormat="1" spans="1:26">
      <c r="A140" s="6"/>
      <c r="B140" s="8"/>
      <c r="C140" s="6"/>
      <c r="D140" s="8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="2" customFormat="1" spans="1:26">
      <c r="A141" s="6"/>
      <c r="B141" s="8"/>
      <c r="C141" s="6"/>
      <c r="D141" s="8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="2" customFormat="1" spans="1:26">
      <c r="A142" s="6"/>
      <c r="B142" s="8"/>
      <c r="C142" s="6"/>
      <c r="D142" s="8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="2" customFormat="1" spans="1:26">
      <c r="A143" s="6"/>
      <c r="B143" s="8"/>
      <c r="C143" s="6"/>
      <c r="D143" s="8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="2" customFormat="1" spans="1:26">
      <c r="A144" s="6"/>
      <c r="B144" s="8"/>
      <c r="C144" s="6"/>
      <c r="D144" s="8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="2" customFormat="1" spans="1:26">
      <c r="A145" s="6"/>
      <c r="B145" s="8"/>
      <c r="C145" s="6"/>
      <c r="D145" s="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="2" customFormat="1" spans="1:26">
      <c r="A146" s="6"/>
      <c r="B146" s="8"/>
      <c r="C146" s="6"/>
      <c r="D146" s="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="2" customFormat="1" spans="1:26">
      <c r="A147" s="6"/>
      <c r="B147" s="8"/>
      <c r="C147" s="6"/>
      <c r="D147" s="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="2" customFormat="1" spans="1:26">
      <c r="A148" s="6"/>
      <c r="B148" s="8"/>
      <c r="C148" s="6"/>
      <c r="D148" s="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="2" customFormat="1" spans="1:26">
      <c r="A149" s="6"/>
      <c r="B149" s="8"/>
      <c r="C149" s="6"/>
      <c r="D149" s="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="2" customFormat="1" spans="1:26">
      <c r="A150" s="6"/>
      <c r="B150" s="8"/>
      <c r="C150" s="6"/>
      <c r="D150" s="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="2" customFormat="1" spans="1:26">
      <c r="A151" s="6"/>
      <c r="B151" s="8"/>
      <c r="C151" s="6"/>
      <c r="D151" s="8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="2" customFormat="1" spans="1:26">
      <c r="A152" s="6"/>
      <c r="B152" s="8"/>
      <c r="C152" s="6"/>
      <c r="D152" s="8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="2" customFormat="1" spans="1:26">
      <c r="A153" s="6"/>
      <c r="B153" s="8"/>
      <c r="C153" s="6"/>
      <c r="D153" s="8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="2" customFormat="1" spans="1:26">
      <c r="A154" s="6"/>
      <c r="B154" s="8"/>
      <c r="C154" s="6"/>
      <c r="D154" s="8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="2" customFormat="1" spans="1:26">
      <c r="A155" s="6"/>
      <c r="B155" s="8"/>
      <c r="C155" s="6"/>
      <c r="D155" s="8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="2" customFormat="1" spans="1:26">
      <c r="A156" s="6"/>
      <c r="B156" s="8"/>
      <c r="C156" s="6"/>
      <c r="D156" s="8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="2" customFormat="1" spans="1:26">
      <c r="A157" s="6"/>
      <c r="B157" s="8"/>
      <c r="C157" s="6"/>
      <c r="D157" s="8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="2" customFormat="1" spans="1:26">
      <c r="A158" s="6"/>
      <c r="B158" s="8"/>
      <c r="C158" s="6"/>
      <c r="D158" s="8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="2" customFormat="1" spans="1:26">
      <c r="A159" s="6"/>
      <c r="B159" s="8"/>
      <c r="C159" s="6"/>
      <c r="D159" s="8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="2" customFormat="1" spans="1:26">
      <c r="A160" s="6"/>
      <c r="B160" s="8"/>
      <c r="C160" s="6"/>
      <c r="D160" s="8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="2" customFormat="1" spans="1:26">
      <c r="A161" s="6"/>
      <c r="B161" s="8"/>
      <c r="C161" s="6"/>
      <c r="D161" s="8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="2" customFormat="1" spans="1:26">
      <c r="A162" s="6"/>
      <c r="B162" s="8"/>
      <c r="C162" s="6"/>
      <c r="D162" s="8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="2" customFormat="1" spans="1:26">
      <c r="A163" s="6"/>
      <c r="B163" s="8"/>
      <c r="C163" s="6"/>
      <c r="D163" s="8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="2" customFormat="1" spans="1:26">
      <c r="A164" s="6"/>
      <c r="B164" s="8"/>
      <c r="C164" s="6"/>
      <c r="D164" s="8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="2" customFormat="1" spans="1:26">
      <c r="A165" s="6"/>
      <c r="B165" s="8"/>
      <c r="C165" s="6"/>
      <c r="D165" s="8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="3" customFormat="1" spans="1:26">
      <c r="A166" s="6"/>
      <c r="B166" s="12"/>
      <c r="C166" s="13"/>
      <c r="D166" s="12"/>
      <c r="E166" s="13"/>
      <c r="F166" s="13"/>
      <c r="G166" s="13"/>
      <c r="H166" s="13"/>
      <c r="I166" s="13"/>
      <c r="J166" s="6"/>
      <c r="K166" s="6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="2" customFormat="1" spans="1:26">
      <c r="A167" s="6"/>
      <c r="B167" s="8"/>
      <c r="C167" s="6"/>
      <c r="D167" s="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="2" customFormat="1" spans="1:26">
      <c r="A168" s="6"/>
      <c r="B168" s="8"/>
      <c r="C168" s="6"/>
      <c r="D168" s="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="2" customFormat="1" spans="1:26">
      <c r="A169" s="6"/>
      <c r="B169" s="8"/>
      <c r="C169" s="6"/>
      <c r="D169" s="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="2" customFormat="1" spans="1:26">
      <c r="A170" s="6"/>
      <c r="B170" s="8"/>
      <c r="C170" s="6"/>
      <c r="D170" s="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="2" customFormat="1" spans="1:26">
      <c r="A171" s="6"/>
      <c r="B171" s="8"/>
      <c r="C171" s="6"/>
      <c r="D171" s="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="2" customFormat="1" spans="1:26">
      <c r="A172" s="6"/>
      <c r="B172" s="8"/>
      <c r="C172" s="6"/>
      <c r="D172" s="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="2" customFormat="1" spans="1:26">
      <c r="A173" s="6"/>
      <c r="B173" s="8"/>
      <c r="C173" s="6"/>
      <c r="D173" s="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="2" customFormat="1" spans="1:26">
      <c r="A174" s="6"/>
      <c r="B174" s="8"/>
      <c r="C174" s="6"/>
      <c r="D174" s="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="2" customFormat="1" spans="1:26">
      <c r="A175" s="6"/>
      <c r="B175" s="8"/>
      <c r="C175" s="6"/>
      <c r="D175" s="8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="2" customFormat="1" spans="1:26">
      <c r="A176" s="6"/>
      <c r="B176" s="8"/>
      <c r="C176" s="6"/>
      <c r="D176" s="8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="2" customFormat="1" spans="1:26">
      <c r="A177" s="6"/>
      <c r="B177" s="8"/>
      <c r="C177" s="6"/>
      <c r="D177" s="8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="2" customFormat="1" spans="1:26">
      <c r="A178" s="6"/>
      <c r="B178" s="8"/>
      <c r="C178" s="6"/>
      <c r="D178" s="8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="2" customFormat="1" spans="1:26">
      <c r="A179" s="6"/>
      <c r="B179" s="8"/>
      <c r="C179" s="6"/>
      <c r="D179" s="8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="2" customFormat="1" spans="1:26">
      <c r="A180" s="6"/>
      <c r="B180" s="8"/>
      <c r="C180" s="6"/>
      <c r="D180" s="8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="2" customFormat="1" spans="1:26">
      <c r="A181" s="6"/>
      <c r="B181" s="8"/>
      <c r="C181" s="6"/>
      <c r="D181" s="8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="2" customFormat="1" spans="1:26">
      <c r="A182" s="6"/>
      <c r="B182" s="8"/>
      <c r="C182" s="6"/>
      <c r="D182" s="8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="2" customFormat="1" spans="1:26">
      <c r="A183" s="6"/>
      <c r="B183" s="8"/>
      <c r="C183" s="6"/>
      <c r="D183" s="8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="2" customFormat="1" spans="1:26">
      <c r="A184" s="6"/>
      <c r="B184" s="8"/>
      <c r="C184" s="6"/>
      <c r="D184" s="8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="2" customFormat="1" spans="1:26">
      <c r="A185" s="6"/>
      <c r="B185" s="8"/>
      <c r="C185" s="6"/>
      <c r="D185" s="8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="2" customFormat="1" spans="1:26">
      <c r="A186" s="6"/>
      <c r="B186" s="8"/>
      <c r="C186" s="6"/>
      <c r="D186" s="8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="2" customFormat="1" spans="1:26">
      <c r="A187" s="6"/>
      <c r="B187" s="8"/>
      <c r="C187" s="6"/>
      <c r="D187" s="8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="2" customFormat="1" spans="1:26">
      <c r="A188" s="6"/>
      <c r="B188" s="8"/>
      <c r="C188" s="6"/>
      <c r="D188" s="8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="2" customFormat="1" spans="1:26">
      <c r="A189" s="6"/>
      <c r="B189" s="8"/>
      <c r="C189" s="6"/>
      <c r="D189" s="8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="2" customFormat="1" spans="1:26">
      <c r="A190" s="6"/>
      <c r="B190" s="8"/>
      <c r="C190" s="6"/>
      <c r="D190" s="8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="2" customFormat="1" spans="1:26">
      <c r="A191" s="6"/>
      <c r="B191" s="8"/>
      <c r="C191" s="6"/>
      <c r="D191" s="8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="2" customFormat="1" spans="1:26">
      <c r="A192" s="6"/>
      <c r="B192" s="8"/>
      <c r="C192" s="6"/>
      <c r="D192" s="8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="2" customFormat="1" spans="1:26">
      <c r="A193" s="6"/>
      <c r="B193" s="8"/>
      <c r="C193" s="6"/>
      <c r="D193" s="8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="2" customFormat="1" spans="1:26">
      <c r="A194" s="6"/>
      <c r="B194" s="8"/>
      <c r="C194" s="6"/>
      <c r="D194" s="8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="2" customFormat="1" spans="1:26">
      <c r="A195" s="6"/>
      <c r="B195" s="8"/>
      <c r="C195" s="6"/>
      <c r="D195" s="8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="2" customFormat="1" spans="1:26">
      <c r="A196" s="6"/>
      <c r="B196" s="8"/>
      <c r="C196" s="6"/>
      <c r="D196" s="8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="2" customFormat="1" spans="1:26">
      <c r="A197" s="6"/>
      <c r="B197" s="8"/>
      <c r="C197" s="6"/>
      <c r="D197" s="8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="2" customFormat="1" spans="1:26">
      <c r="A198" s="6"/>
      <c r="B198" s="8"/>
      <c r="C198" s="6"/>
      <c r="D198" s="8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="2" customFormat="1" spans="1:26">
      <c r="A199" s="6"/>
      <c r="B199" s="8"/>
      <c r="C199" s="6"/>
      <c r="D199" s="8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="2" customFormat="1" spans="1:26">
      <c r="A200" s="6"/>
      <c r="B200" s="8"/>
      <c r="C200" s="6"/>
      <c r="D200" s="8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="2" customFormat="1" spans="1:26">
      <c r="A201" s="6"/>
      <c r="B201" s="8"/>
      <c r="C201" s="6"/>
      <c r="D201" s="8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="2" customFormat="1" spans="1:26">
      <c r="A202" s="6"/>
      <c r="B202" s="8"/>
      <c r="C202" s="6"/>
      <c r="D202" s="8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="2" customFormat="1" spans="1:26">
      <c r="A203" s="6"/>
      <c r="B203" s="8"/>
      <c r="C203" s="6"/>
      <c r="D203" s="8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="2" customFormat="1" spans="1:26">
      <c r="A204" s="6"/>
      <c r="B204" s="8"/>
      <c r="C204" s="6"/>
      <c r="D204" s="8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="2" customFormat="1" spans="1:26">
      <c r="A205" s="6"/>
      <c r="B205" s="8"/>
      <c r="C205" s="6"/>
      <c r="D205" s="8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="2" customFormat="1" spans="1:26">
      <c r="A206" s="6"/>
      <c r="B206" s="8"/>
      <c r="C206" s="6"/>
      <c r="D206" s="8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="2" customFormat="1" spans="1:26">
      <c r="A207" s="6"/>
      <c r="B207" s="8"/>
      <c r="C207" s="6"/>
      <c r="D207" s="8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="2" customFormat="1" spans="1:26">
      <c r="A208" s="6"/>
      <c r="B208" s="8"/>
      <c r="C208" s="6"/>
      <c r="D208" s="8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="2" customFormat="1" spans="1:26">
      <c r="A209" s="6"/>
      <c r="B209" s="8"/>
      <c r="C209" s="6"/>
      <c r="D209" s="8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="2" customFormat="1" spans="1:26">
      <c r="A210" s="6"/>
      <c r="B210" s="8"/>
      <c r="C210" s="6"/>
      <c r="D210" s="8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="2" customFormat="1" spans="1:26">
      <c r="A211" s="6"/>
      <c r="B211" s="8"/>
      <c r="C211" s="6"/>
      <c r="D211" s="8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="2" customFormat="1" spans="1:26">
      <c r="A212" s="6"/>
      <c r="B212" s="8"/>
      <c r="C212" s="6"/>
      <c r="D212" s="8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="2" customFormat="1" spans="1:26">
      <c r="A213" s="6"/>
      <c r="B213" s="8"/>
      <c r="C213" s="6"/>
      <c r="D213" s="8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="2" customFormat="1" spans="1:26">
      <c r="A214" s="6"/>
      <c r="B214" s="8"/>
      <c r="C214" s="6"/>
      <c r="D214" s="8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="2" customFormat="1" spans="1:26">
      <c r="A215" s="6"/>
      <c r="B215" s="8"/>
      <c r="C215" s="6"/>
      <c r="D215" s="8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="2" customFormat="1" spans="1:26">
      <c r="A216" s="6"/>
      <c r="B216" s="8"/>
      <c r="C216" s="6"/>
      <c r="D216" s="8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="2" customFormat="1" spans="1:26">
      <c r="A217" s="6"/>
      <c r="B217" s="8"/>
      <c r="C217" s="6"/>
      <c r="D217" s="8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="2" customFormat="1" spans="1:26">
      <c r="A218" s="6"/>
      <c r="B218" s="8"/>
      <c r="C218" s="6"/>
      <c r="D218" s="8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="2" customFormat="1" spans="1:26">
      <c r="A219" s="6"/>
      <c r="B219" s="8"/>
      <c r="C219" s="6"/>
      <c r="D219" s="8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="2" customFormat="1" spans="1:26">
      <c r="A220" s="6"/>
      <c r="B220" s="8"/>
      <c r="C220" s="6"/>
      <c r="D220" s="8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="2" customFormat="1" spans="1:26">
      <c r="A221" s="6"/>
      <c r="B221" s="8"/>
      <c r="C221" s="6"/>
      <c r="D221" s="8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="2" customFormat="1" spans="1:26">
      <c r="A222" s="6"/>
      <c r="B222" s="8"/>
      <c r="C222" s="6"/>
      <c r="D222" s="8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="2" customFormat="1" spans="1:26">
      <c r="A223" s="6"/>
      <c r="B223" s="8"/>
      <c r="C223" s="6"/>
      <c r="D223" s="8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="2" customFormat="1" spans="1:26">
      <c r="A224" s="6"/>
      <c r="B224" s="8"/>
      <c r="C224" s="6"/>
      <c r="D224" s="8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="2" customFormat="1" spans="1:26">
      <c r="A225" s="6"/>
      <c r="B225" s="8"/>
      <c r="C225" s="6"/>
      <c r="D225" s="8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="2" customFormat="1" spans="1:26">
      <c r="A226" s="6"/>
      <c r="B226" s="8"/>
      <c r="C226" s="6"/>
      <c r="D226" s="8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="2" customFormat="1" spans="1:26">
      <c r="A227" s="6"/>
      <c r="B227" s="8"/>
      <c r="C227" s="6"/>
      <c r="D227" s="8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="2" customFormat="1" spans="1:26">
      <c r="A228" s="6"/>
      <c r="B228" s="8"/>
      <c r="C228" s="6"/>
      <c r="D228" s="8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="2" customFormat="1" spans="1:26">
      <c r="A229" s="6"/>
      <c r="B229" s="8"/>
      <c r="C229" s="6"/>
      <c r="D229" s="8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="2" customFormat="1" spans="1:26">
      <c r="A230" s="6"/>
      <c r="B230" s="8"/>
      <c r="C230" s="6"/>
      <c r="D230" s="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="2" customFormat="1" spans="1:26">
      <c r="A231" s="6"/>
      <c r="B231" s="8"/>
      <c r="C231" s="6"/>
      <c r="D231" s="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="2" customFormat="1" spans="1:26">
      <c r="A232" s="6"/>
      <c r="B232" s="8"/>
      <c r="C232" s="6"/>
      <c r="D232" s="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="2" customFormat="1" spans="1:26">
      <c r="A233" s="6"/>
      <c r="B233" s="8"/>
      <c r="C233" s="6"/>
      <c r="D233" s="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="2" customFormat="1" spans="1:26">
      <c r="A234" s="6"/>
      <c r="B234" s="8"/>
      <c r="C234" s="6"/>
      <c r="D234" s="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="2" customFormat="1" spans="1:26">
      <c r="A235" s="6"/>
      <c r="B235" s="8"/>
      <c r="C235" s="6"/>
      <c r="D235" s="8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="2" customFormat="1" spans="1:26">
      <c r="A236" s="6"/>
      <c r="B236" s="8"/>
      <c r="C236" s="6"/>
      <c r="D236" s="8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="2" customFormat="1" spans="1:26">
      <c r="A237" s="6"/>
      <c r="B237" s="8"/>
      <c r="C237" s="6"/>
      <c r="D237" s="8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="2" customFormat="1" spans="1:26">
      <c r="A238" s="6"/>
      <c r="B238" s="8"/>
      <c r="C238" s="6"/>
      <c r="D238" s="8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="2" customFormat="1" spans="1:26">
      <c r="A239" s="6"/>
      <c r="B239" s="8"/>
      <c r="C239" s="6"/>
      <c r="D239" s="8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="2" customFormat="1" spans="1:26">
      <c r="A240" s="6"/>
      <c r="B240" s="8"/>
      <c r="C240" s="6"/>
      <c r="D240" s="8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="2" customFormat="1" spans="1:26">
      <c r="A241" s="6"/>
      <c r="B241" s="8"/>
      <c r="C241" s="6"/>
      <c r="D241" s="8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="2" customFormat="1" spans="1:26">
      <c r="A242" s="6"/>
      <c r="B242" s="8"/>
      <c r="C242" s="6"/>
      <c r="D242" s="8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="2" customFormat="1" spans="1:26">
      <c r="A243" s="6"/>
      <c r="B243" s="8"/>
      <c r="C243" s="6"/>
      <c r="D243" s="8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MiniGameInit_Extra</vt:lpstr>
      <vt:lpstr>MiniGameProp_Extra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genme</dc:creator>
  <cp:lastModifiedBy>陈陶</cp:lastModifiedBy>
  <dcterms:created xsi:type="dcterms:W3CDTF">2024-06-21T16:06:00Z</dcterms:created>
  <dcterms:modified xsi:type="dcterms:W3CDTF">2025-05-27T03:27:31Z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B06B13EDDB7036C5B0A073662D800394_43</vt:lpwstr>
  </property>
  <property fmtid="{D5CDD505-2E9C-101B-9397-08002B2CF9AE}" pid="3" name="KSOProductBuildVer">
    <vt:lpwstr>2052-12.1.0.21171</vt:lpwstr>
  </property>
  <property fmtid="{D5CDD505-2E9C-101B-9397-08002B2CF9AE}" pid="4" name="KSOReadingLayout">
    <vt:bool>true</vt:bool>
  </property>
</Properties>
</file>